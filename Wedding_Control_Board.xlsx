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ngy\Downloads\"/>
    </mc:Choice>
  </mc:AlternateContent>
  <xr:revisionPtr revIDLastSave="0" documentId="13_ncr:20001_{CE2E6034-885E-456F-B3C7-61591A808695}" xr6:coauthVersionLast="47" xr6:coauthVersionMax="47" xr10:uidLastSave="{00000000-0000-0000-0000-000000000000}"/>
  <bookViews>
    <workbookView xWindow="43080" yWindow="-120" windowWidth="29040" windowHeight="15720" activeTab="2" xr2:uid="{00000000-000D-0000-FFFF-FFFF00000000}"/>
  </bookViews>
  <sheets>
    <sheet name="START_HERE" sheetId="1" r:id="rId1"/>
    <sheet name="SETUP_Dictionary" sheetId="2" r:id="rId2"/>
    <sheet name="Dashboard" sheetId="3" r:id="rId3"/>
    <sheet name="Timeline_Tasks" sheetId="4" r:id="rId4"/>
    <sheet name="Vendor_Tracker" sheetId="5" r:id="rId5"/>
    <sheet name="Guest_RSVP" sheetId="6" r:id="rId6"/>
    <sheet name="Budget_Manager" sheetId="7" r:id="rId7"/>
    <sheet name="Decision_Notes" sheetId="8" r:id="rId8"/>
    <sheet name="CALC_Summary" sheetId="9" state="hidden" r:id="rId9"/>
  </sheets>
  <definedNames>
    <definedName name="list_Budget_Category">SETUP_Dictionary!$K$9:$K$13</definedName>
    <definedName name="list_Guest_Group">SETUP_Dictionary!$I$9:$I$13</definedName>
    <definedName name="list_Guest_Side">SETUP_Dictionary!$H$9:$H$11</definedName>
    <definedName name="list_Link_Module">SETUP_Dictionary!$M$9:$M$11</definedName>
    <definedName name="list_Note_Scenario">SETUP_Dictionary!$L$9:$L$13</definedName>
    <definedName name="list_Owner">SETUP_Dictionary!$D$9:$D$14</definedName>
    <definedName name="list_Pay_Status">SETUP_Dictionary!$F$9:$F$11</definedName>
    <definedName name="list_RSVP_Status">SETUP_Dictionary!$J$9:$J$12</definedName>
    <definedName name="list_Task_Category">SETUP_Dictionary!$B$9:$B$14</definedName>
    <definedName name="list_Task_Status">SETUP_Dictionary!$C$9:$C$12</definedName>
    <definedName name="list_Vendor_Category">SETUP_Dictionary!$E$9:$E$15</definedName>
    <definedName name="list_Yes_No">SETUP_Dictionary!$G$9:$G$10</definedName>
    <definedName name="rng_ActualCost">CALC_Summary!$C$14</definedName>
    <definedName name="rng_CompletedTasks">CALC_Summary!$C$10</definedName>
    <definedName name="rng_CompletionRate">CALC_Summary!$C$11</definedName>
    <definedName name="rng_ConfirmedGuests">CALC_Summary!$C$18</definedName>
    <definedName name="rng_DepositPaid">CALC_Summary!$C$15</definedName>
    <definedName name="rng_FinalBalance">CALC_Summary!$C$16</definedName>
    <definedName name="rng_InvitedGuests">CALC_Summary!$C$17</definedName>
    <definedName name="rng_OverdueTasks">CALC_Summary!$C$12</definedName>
    <definedName name="rng_TentativeGuests">CALC_Summary!$C$19</definedName>
    <definedName name="rng_TotalBudget">CALC_Summary!$C$13</definedName>
    <definedName name="rng_TotalTasks">CALC_Summary!$C$9</definedName>
  </definedNames>
  <calcPr calcId="191029" forceFullCalc="1"/>
  <pivotCaches>
    <pivotCache cacheId="13" r:id="rId10"/>
    <pivotCache cacheId="11" r:id="rId11"/>
    <pivotCache cacheId="17" r:id="rId12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 a="1"/>
  <c r="B26" i="3" s="1"/>
  <c r="B10" i="3"/>
  <c r="C17" i="3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E108" i="7" a="1"/>
  <c r="E108" i="7" s="1"/>
  <c r="F108" i="7" s="1"/>
  <c r="G108" i="7" s="1"/>
  <c r="E107" i="7" a="1"/>
  <c r="E107" i="7" s="1"/>
  <c r="F107" i="7" s="1"/>
  <c r="G107" i="7" s="1"/>
  <c r="E106" i="7" a="1"/>
  <c r="E106" i="7" s="1"/>
  <c r="F106" i="7" s="1"/>
  <c r="G106" i="7" s="1"/>
  <c r="E105" i="7" a="1"/>
  <c r="E105" i="7" s="1"/>
  <c r="F105" i="7" s="1"/>
  <c r="G105" i="7" s="1"/>
  <c r="E104" i="7" a="1"/>
  <c r="E104" i="7" s="1"/>
  <c r="F104" i="7" s="1"/>
  <c r="G104" i="7" s="1"/>
  <c r="E103" i="7" a="1"/>
  <c r="E103" i="7" s="1"/>
  <c r="F103" i="7" s="1"/>
  <c r="G103" i="7" s="1"/>
  <c r="E102" i="7" a="1"/>
  <c r="E102" i="7" s="1"/>
  <c r="F102" i="7" s="1"/>
  <c r="G102" i="7" s="1"/>
  <c r="E101" i="7" a="1"/>
  <c r="E101" i="7" s="1"/>
  <c r="F101" i="7" s="1"/>
  <c r="G101" i="7" s="1"/>
  <c r="E100" i="7" a="1"/>
  <c r="E100" i="7" s="1"/>
  <c r="F100" i="7" s="1"/>
  <c r="G100" i="7" s="1"/>
  <c r="E99" i="7" a="1"/>
  <c r="E99" i="7" s="1"/>
  <c r="F99" i="7" s="1"/>
  <c r="G99" i="7" s="1"/>
  <c r="E98" i="7" a="1"/>
  <c r="E98" i="7" s="1"/>
  <c r="F98" i="7" s="1"/>
  <c r="G98" i="7" s="1"/>
  <c r="E97" i="7" a="1"/>
  <c r="E97" i="7" s="1"/>
  <c r="F97" i="7" s="1"/>
  <c r="G97" i="7" s="1"/>
  <c r="E96" i="7" a="1"/>
  <c r="E96" i="7" s="1"/>
  <c r="F96" i="7" s="1"/>
  <c r="G96" i="7" s="1"/>
  <c r="E95" i="7" a="1"/>
  <c r="E95" i="7" s="1"/>
  <c r="F95" i="7" s="1"/>
  <c r="G95" i="7" s="1"/>
  <c r="E94" i="7" a="1"/>
  <c r="E94" i="7" s="1"/>
  <c r="F94" i="7" s="1"/>
  <c r="G94" i="7" s="1"/>
  <c r="E93" i="7" a="1"/>
  <c r="E93" i="7" s="1"/>
  <c r="F93" i="7" s="1"/>
  <c r="G93" i="7" s="1"/>
  <c r="E92" i="7" a="1"/>
  <c r="E92" i="7" s="1"/>
  <c r="F92" i="7" s="1"/>
  <c r="G92" i="7" s="1"/>
  <c r="E91" i="7" a="1"/>
  <c r="E91" i="7" s="1"/>
  <c r="F91" i="7" s="1"/>
  <c r="G91" i="7" s="1"/>
  <c r="E90" i="7" a="1"/>
  <c r="E90" i="7" s="1"/>
  <c r="F90" i="7" s="1"/>
  <c r="G90" i="7" s="1"/>
  <c r="E89" i="7" a="1"/>
  <c r="E89" i="7" s="1"/>
  <c r="F89" i="7" s="1"/>
  <c r="G89" i="7" s="1"/>
  <c r="E88" i="7" a="1"/>
  <c r="E88" i="7" s="1"/>
  <c r="F88" i="7" s="1"/>
  <c r="G88" i="7" s="1"/>
  <c r="E87" i="7" a="1"/>
  <c r="E87" i="7" s="1"/>
  <c r="F87" i="7" s="1"/>
  <c r="G87" i="7" s="1"/>
  <c r="E86" i="7" a="1"/>
  <c r="E86" i="7" s="1"/>
  <c r="F86" i="7" s="1"/>
  <c r="G86" i="7" s="1"/>
  <c r="E85" i="7" a="1"/>
  <c r="E85" i="7" s="1"/>
  <c r="F85" i="7" s="1"/>
  <c r="G85" i="7" s="1"/>
  <c r="E84" i="7" a="1"/>
  <c r="E84" i="7" s="1"/>
  <c r="F84" i="7" s="1"/>
  <c r="G84" i="7" s="1"/>
  <c r="E83" i="7" a="1"/>
  <c r="E83" i="7" s="1"/>
  <c r="F83" i="7" s="1"/>
  <c r="G83" i="7" s="1"/>
  <c r="E82" i="7" a="1"/>
  <c r="E82" i="7" s="1"/>
  <c r="F82" i="7" s="1"/>
  <c r="G82" i="7" s="1"/>
  <c r="E81" i="7" a="1"/>
  <c r="E81" i="7" s="1"/>
  <c r="F81" i="7" s="1"/>
  <c r="G81" i="7" s="1"/>
  <c r="E80" i="7" a="1"/>
  <c r="E80" i="7" s="1"/>
  <c r="F80" i="7" s="1"/>
  <c r="G80" i="7" s="1"/>
  <c r="E79" i="7" a="1"/>
  <c r="E79" i="7" s="1"/>
  <c r="F79" i="7" s="1"/>
  <c r="G79" i="7" s="1"/>
  <c r="E78" i="7" a="1"/>
  <c r="E78" i="7" s="1"/>
  <c r="F78" i="7" s="1"/>
  <c r="G78" i="7" s="1"/>
  <c r="E77" i="7" a="1"/>
  <c r="E77" i="7" s="1"/>
  <c r="F77" i="7" s="1"/>
  <c r="G77" i="7" s="1"/>
  <c r="E76" i="7" a="1"/>
  <c r="E76" i="7" s="1"/>
  <c r="F76" i="7" s="1"/>
  <c r="G76" i="7" s="1"/>
  <c r="E75" i="7" a="1"/>
  <c r="E75" i="7" s="1"/>
  <c r="F75" i="7" s="1"/>
  <c r="G75" i="7" s="1"/>
  <c r="E74" i="7" a="1"/>
  <c r="E74" i="7" s="1"/>
  <c r="F74" i="7" s="1"/>
  <c r="G74" i="7" s="1"/>
  <c r="E73" i="7" a="1"/>
  <c r="E73" i="7" s="1"/>
  <c r="F73" i="7" s="1"/>
  <c r="G73" i="7" s="1"/>
  <c r="E72" i="7" a="1"/>
  <c r="E72" i="7" s="1"/>
  <c r="F72" i="7" s="1"/>
  <c r="G72" i="7" s="1"/>
  <c r="E71" i="7" a="1"/>
  <c r="E71" i="7" s="1"/>
  <c r="F71" i="7" s="1"/>
  <c r="G71" i="7" s="1"/>
  <c r="E70" i="7" a="1"/>
  <c r="E70" i="7" s="1"/>
  <c r="F70" i="7" s="1"/>
  <c r="G70" i="7" s="1"/>
  <c r="E69" i="7" a="1"/>
  <c r="E69" i="7" s="1"/>
  <c r="F69" i="7" s="1"/>
  <c r="G69" i="7" s="1"/>
  <c r="E68" i="7" a="1"/>
  <c r="E68" i="7" s="1"/>
  <c r="F68" i="7" s="1"/>
  <c r="G68" i="7" s="1"/>
  <c r="E67" i="7" a="1"/>
  <c r="E67" i="7" s="1"/>
  <c r="F67" i="7" s="1"/>
  <c r="G67" i="7" s="1"/>
  <c r="E66" i="7" a="1"/>
  <c r="E66" i="7" s="1"/>
  <c r="F66" i="7" s="1"/>
  <c r="G66" i="7" s="1"/>
  <c r="E65" i="7" a="1"/>
  <c r="E65" i="7" s="1"/>
  <c r="F65" i="7" s="1"/>
  <c r="G65" i="7" s="1"/>
  <c r="E64" i="7" a="1"/>
  <c r="E64" i="7" s="1"/>
  <c r="F64" i="7" s="1"/>
  <c r="G64" i="7" s="1"/>
  <c r="E63" i="7" a="1"/>
  <c r="E63" i="7" s="1"/>
  <c r="F63" i="7" s="1"/>
  <c r="G63" i="7" s="1"/>
  <c r="E62" i="7" a="1"/>
  <c r="E62" i="7" s="1"/>
  <c r="F62" i="7" s="1"/>
  <c r="G62" i="7" s="1"/>
  <c r="E61" i="7" a="1"/>
  <c r="E61" i="7" s="1"/>
  <c r="F61" i="7" s="1"/>
  <c r="G61" i="7" s="1"/>
  <c r="E60" i="7" a="1"/>
  <c r="E60" i="7" s="1"/>
  <c r="F60" i="7" s="1"/>
  <c r="G60" i="7" s="1"/>
  <c r="E59" i="7" a="1"/>
  <c r="E59" i="7" s="1"/>
  <c r="F59" i="7" s="1"/>
  <c r="G59" i="7" s="1"/>
  <c r="E58" i="7" a="1"/>
  <c r="E58" i="7" s="1"/>
  <c r="F58" i="7" s="1"/>
  <c r="G58" i="7" s="1"/>
  <c r="E57" i="7" a="1"/>
  <c r="E57" i="7" s="1"/>
  <c r="F57" i="7" s="1"/>
  <c r="G57" i="7" s="1"/>
  <c r="E56" i="7" a="1"/>
  <c r="E56" i="7" s="1"/>
  <c r="F56" i="7" s="1"/>
  <c r="G56" i="7" s="1"/>
  <c r="E55" i="7" a="1"/>
  <c r="E55" i="7" s="1"/>
  <c r="F55" i="7" s="1"/>
  <c r="G55" i="7" s="1"/>
  <c r="E54" i="7" a="1"/>
  <c r="E54" i="7" s="1"/>
  <c r="F54" i="7" s="1"/>
  <c r="G54" i="7" s="1"/>
  <c r="E53" i="7" a="1"/>
  <c r="E53" i="7" s="1"/>
  <c r="F53" i="7" s="1"/>
  <c r="G53" i="7" s="1"/>
  <c r="E52" i="7" a="1"/>
  <c r="E52" i="7" s="1"/>
  <c r="F52" i="7" s="1"/>
  <c r="G52" i="7" s="1"/>
  <c r="E51" i="7" a="1"/>
  <c r="E51" i="7" s="1"/>
  <c r="F51" i="7" s="1"/>
  <c r="G51" i="7" s="1"/>
  <c r="E50" i="7" a="1"/>
  <c r="E50" i="7" s="1"/>
  <c r="F50" i="7" s="1"/>
  <c r="G50" i="7" s="1"/>
  <c r="E49" i="7" a="1"/>
  <c r="E49" i="7" s="1"/>
  <c r="F49" i="7" s="1"/>
  <c r="G49" i="7" s="1"/>
  <c r="E48" i="7" a="1"/>
  <c r="E48" i="7" s="1"/>
  <c r="F48" i="7" s="1"/>
  <c r="G48" i="7" s="1"/>
  <c r="E47" i="7" a="1"/>
  <c r="E47" i="7" s="1"/>
  <c r="F47" i="7" s="1"/>
  <c r="G47" i="7" s="1"/>
  <c r="E46" i="7" a="1"/>
  <c r="E46" i="7" s="1"/>
  <c r="F46" i="7" s="1"/>
  <c r="G46" i="7" s="1"/>
  <c r="E45" i="7" a="1"/>
  <c r="E45" i="7" s="1"/>
  <c r="F45" i="7" s="1"/>
  <c r="G45" i="7" s="1"/>
  <c r="E44" i="7" a="1"/>
  <c r="E44" i="7" s="1"/>
  <c r="F44" i="7" s="1"/>
  <c r="G44" i="7" s="1"/>
  <c r="E43" i="7" a="1"/>
  <c r="E43" i="7" s="1"/>
  <c r="F43" i="7" s="1"/>
  <c r="G43" i="7" s="1"/>
  <c r="E42" i="7" a="1"/>
  <c r="E42" i="7" s="1"/>
  <c r="F42" i="7" s="1"/>
  <c r="G42" i="7" s="1"/>
  <c r="E41" i="7" a="1"/>
  <c r="E41" i="7" s="1"/>
  <c r="F41" i="7" s="1"/>
  <c r="G41" i="7" s="1"/>
  <c r="E40" i="7" a="1"/>
  <c r="E40" i="7" s="1"/>
  <c r="F40" i="7" s="1"/>
  <c r="G40" i="7" s="1"/>
  <c r="E39" i="7" a="1"/>
  <c r="E39" i="7" s="1"/>
  <c r="F39" i="7" s="1"/>
  <c r="G39" i="7" s="1"/>
  <c r="E38" i="7" a="1"/>
  <c r="E38" i="7" s="1"/>
  <c r="F38" i="7" s="1"/>
  <c r="G38" i="7" s="1"/>
  <c r="E37" i="7" a="1"/>
  <c r="E37" i="7" s="1"/>
  <c r="F37" i="7" s="1"/>
  <c r="G37" i="7" s="1"/>
  <c r="E36" i="7" a="1"/>
  <c r="E36" i="7" s="1"/>
  <c r="F36" i="7" s="1"/>
  <c r="G36" i="7" s="1"/>
  <c r="E35" i="7" a="1"/>
  <c r="E35" i="7" s="1"/>
  <c r="F35" i="7" s="1"/>
  <c r="G35" i="7" s="1"/>
  <c r="E34" i="7" a="1"/>
  <c r="E34" i="7" s="1"/>
  <c r="F34" i="7" s="1"/>
  <c r="G34" i="7" s="1"/>
  <c r="E33" i="7" a="1"/>
  <c r="E33" i="7" s="1"/>
  <c r="F33" i="7" s="1"/>
  <c r="G33" i="7" s="1"/>
  <c r="E32" i="7" a="1"/>
  <c r="E32" i="7" s="1"/>
  <c r="F32" i="7" s="1"/>
  <c r="G32" i="7" s="1"/>
  <c r="E31" i="7" a="1"/>
  <c r="E31" i="7" s="1"/>
  <c r="F31" i="7" s="1"/>
  <c r="G31" i="7" s="1"/>
  <c r="E30" i="7" a="1"/>
  <c r="E30" i="7" s="1"/>
  <c r="F30" i="7" s="1"/>
  <c r="G30" i="7" s="1"/>
  <c r="E29" i="7" a="1"/>
  <c r="E29" i="7" s="1"/>
  <c r="F29" i="7" s="1"/>
  <c r="G29" i="7" s="1"/>
  <c r="E28" i="7" a="1"/>
  <c r="E28" i="7" s="1"/>
  <c r="F28" i="7" s="1"/>
  <c r="G28" i="7" s="1"/>
  <c r="E27" i="7" a="1"/>
  <c r="E27" i="7" s="1"/>
  <c r="F27" i="7" s="1"/>
  <c r="G27" i="7" s="1"/>
  <c r="E26" i="7" a="1"/>
  <c r="E26" i="7" s="1"/>
  <c r="F26" i="7" s="1"/>
  <c r="G26" i="7" s="1"/>
  <c r="E25" i="7" a="1"/>
  <c r="E25" i="7" s="1"/>
  <c r="F25" i="7" s="1"/>
  <c r="G25" i="7" s="1"/>
  <c r="E24" i="7" a="1"/>
  <c r="E24" i="7" s="1"/>
  <c r="F24" i="7" s="1"/>
  <c r="G24" i="7" s="1"/>
  <c r="E23" i="7" a="1"/>
  <c r="E23" i="7" s="1"/>
  <c r="F23" i="7" s="1"/>
  <c r="G23" i="7" s="1"/>
  <c r="E22" i="7" a="1"/>
  <c r="E22" i="7" s="1"/>
  <c r="F22" i="7" s="1"/>
  <c r="G22" i="7" s="1"/>
  <c r="E21" i="7" a="1"/>
  <c r="E21" i="7" s="1"/>
  <c r="F21" i="7" s="1"/>
  <c r="G21" i="7" s="1"/>
  <c r="E20" i="7" a="1"/>
  <c r="E20" i="7" s="1"/>
  <c r="F20" i="7" s="1"/>
  <c r="G20" i="7" s="1"/>
  <c r="E19" i="7" a="1"/>
  <c r="E19" i="7" s="1"/>
  <c r="F19" i="7" s="1"/>
  <c r="G19" i="7" s="1"/>
  <c r="E18" i="7" a="1"/>
  <c r="E18" i="7" s="1"/>
  <c r="F18" i="7" s="1"/>
  <c r="G18" i="7" s="1"/>
  <c r="E17" i="7" a="1"/>
  <c r="E17" i="7" s="1"/>
  <c r="F17" i="7" s="1"/>
  <c r="G17" i="7" s="1"/>
  <c r="E16" i="7" a="1"/>
  <c r="E16" i="7" s="1"/>
  <c r="F16" i="7" s="1"/>
  <c r="G16" i="7" s="1"/>
  <c r="E15" i="7" a="1"/>
  <c r="E15" i="7" s="1"/>
  <c r="F15" i="7" s="1"/>
  <c r="G15" i="7" s="1"/>
  <c r="E14" i="7" a="1"/>
  <c r="E14" i="7" s="1"/>
  <c r="F14" i="7" s="1"/>
  <c r="G14" i="7" s="1"/>
  <c r="E13" i="7" a="1"/>
  <c r="E13" i="7" s="1"/>
  <c r="F13" i="7" s="1"/>
  <c r="G13" i="7" s="1"/>
  <c r="E12" i="7" a="1"/>
  <c r="E12" i="7" s="1"/>
  <c r="F12" i="7" s="1"/>
  <c r="G12" i="7" s="1"/>
  <c r="E11" i="7" a="1"/>
  <c r="E11" i="7" s="1"/>
  <c r="F11" i="7" s="1"/>
  <c r="G11" i="7" s="1"/>
  <c r="E10" i="7" a="1"/>
  <c r="E10" i="7" s="1"/>
  <c r="F10" i="7" s="1"/>
  <c r="G10" i="7" s="1"/>
  <c r="E9" i="7" a="1"/>
  <c r="E9" i="7" s="1"/>
  <c r="F9" i="7" s="1"/>
  <c r="G9" i="7" s="1"/>
  <c r="C19" i="9"/>
  <c r="C22" i="3" s="1"/>
  <c r="C18" i="9"/>
  <c r="K10" i="3" s="1"/>
  <c r="C17" i="9"/>
  <c r="C21" i="3" s="1"/>
  <c r="C15" i="9"/>
  <c r="C19" i="3" s="1"/>
  <c r="C13" i="9"/>
  <c r="E10" i="3" s="1"/>
  <c r="C12" i="9"/>
  <c r="N10" i="3" s="1"/>
  <c r="C11" i="9"/>
  <c r="C10" i="9"/>
  <c r="C9" i="9"/>
  <c r="C7" i="3"/>
  <c r="C16" i="9" l="1"/>
  <c r="C20" i="3" s="1"/>
  <c r="C14" i="9"/>
  <c r="H10" i="3" s="1"/>
  <c r="C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24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All workbook content is English by request. The source specification was Chinese, translated into English field labels and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<sst xmlns="http://schemas.openxmlformats.org/spreadsheetml/2006/main" count="343" uniqueCount="221">
  <si>
    <t xml:space="preserve">   START_HERE    |    Dashboard    |    Timeline_Tasks    |    Vendor_Tracker    |    Guest_RSVP    |    Budget_Manager    |    Decision_Notes</t>
  </si>
  <si>
    <t>Wedding Control Board</t>
  </si>
  <si>
    <t>Single source of truth for wedding planning progress, budget, vendors, guests, and decisions.</t>
  </si>
  <si>
    <t>Workbook Map</t>
  </si>
  <si>
    <t>Sheet</t>
  </si>
  <si>
    <t>Layer</t>
  </si>
  <si>
    <t>Purpose</t>
  </si>
  <si>
    <t>User Action</t>
  </si>
  <si>
    <t>SETUP_Dictionary</t>
  </si>
  <si>
    <t>Config</t>
  </si>
  <si>
    <t>Dropdown values and category mapping</t>
  </si>
  <si>
    <t>Edit lists only when business rules change</t>
  </si>
  <si>
    <t>Dashboard</t>
  </si>
  <si>
    <t>Presentation</t>
  </si>
  <si>
    <t>Executive control board</t>
  </si>
  <si>
    <t>Review weekly; replace gray placeholders with native charts if desired</t>
  </si>
  <si>
    <t>Timeline_Tasks</t>
  </si>
  <si>
    <t>Data</t>
  </si>
  <si>
    <t>Milestones and task ownership</t>
  </si>
  <si>
    <t>Add or update tasks</t>
  </si>
  <si>
    <t>Vendor_Tracker</t>
  </si>
  <si>
    <t>Vendor contracts and payment status</t>
  </si>
  <si>
    <t>Add vendor contracts and payment status</t>
  </si>
  <si>
    <t>Guest_RSVP</t>
  </si>
  <si>
    <t>Guest list and attendance counts</t>
  </si>
  <si>
    <t>Track RSVP and table assignment</t>
  </si>
  <si>
    <t>Budget_Manager</t>
  </si>
  <si>
    <t>Data/Calc</t>
  </si>
  <si>
    <t>Budget plan with vendor-based actuals</t>
  </si>
  <si>
    <t>Enter planned budgets; formulas calculate actuals</t>
  </si>
  <si>
    <t>Decision_Notes</t>
  </si>
  <si>
    <t>Decision log linked to tasks/vendors</t>
  </si>
  <si>
    <t>Record calls, meetings, and verbal commitments</t>
  </si>
  <si>
    <t>CALC_Summary</t>
  </si>
  <si>
    <t>Calculation</t>
  </si>
  <si>
    <t>Central calculation layer for dashboard formulas</t>
  </si>
  <si>
    <t>Hidden/locked calculation area</t>
  </si>
  <si>
    <t>Version</t>
  </si>
  <si>
    <t>1.0</t>
  </si>
  <si>
    <t>Generated On</t>
  </si>
  <si>
    <t>Post-Generation Checklist</t>
  </si>
  <si>
    <t>1. Open the workbook in Microsoft Excel and use Data &gt; Refresh All after adding new rows.</t>
  </si>
  <si>
    <t>2. Replace gray dashboard placeholders with native Excel charts only if interactive chart objects are required.</t>
  </si>
  <si>
    <t>3. Keep all source data inside the structured Excel tables; paste new rows directly below each table.</t>
  </si>
  <si>
    <t>4. Use SETUP_Dictionary to extend dropdown categories instead of hardcoding new options.</t>
  </si>
  <si>
    <t>5. Review Dashboard every week and update overdue tasks, vendor balances, and RSVP status.</t>
  </si>
  <si>
    <t>Setup Dictionary</t>
  </si>
  <si>
    <t>Task_Category</t>
  </si>
  <si>
    <t>Task_Status</t>
  </si>
  <si>
    <t>Owner</t>
  </si>
  <si>
    <t>Vendor_Category</t>
  </si>
  <si>
    <t>Pay_Status</t>
  </si>
  <si>
    <t>Yes_No</t>
  </si>
  <si>
    <t>Guest_Side</t>
  </si>
  <si>
    <t>Guest_Group</t>
  </si>
  <si>
    <t>RSVP_Status</t>
  </si>
  <si>
    <t>Budget_Category</t>
  </si>
  <si>
    <t>Note_Scenario</t>
  </si>
  <si>
    <t>Link_Module</t>
  </si>
  <si>
    <t>Venue &amp; Ceremony</t>
  </si>
  <si>
    <t>Not Started</t>
  </si>
  <si>
    <t>Groom</t>
  </si>
  <si>
    <t>Wedding Planning</t>
  </si>
  <si>
    <t>Unpaid</t>
  </si>
  <si>
    <t>Yes</t>
  </si>
  <si>
    <t>Groom Side</t>
  </si>
  <si>
    <t>Close Family</t>
  </si>
  <si>
    <t>Confirmed</t>
  </si>
  <si>
    <t>Venue &amp; Banquet</t>
  </si>
  <si>
    <t>Planner Call</t>
  </si>
  <si>
    <t>Task</t>
  </si>
  <si>
    <t>Core Vendors</t>
  </si>
  <si>
    <t>In Progress</t>
  </si>
  <si>
    <t>Bride</t>
  </si>
  <si>
    <t>Host / MC</t>
  </si>
  <si>
    <t>Deposit Paid</t>
  </si>
  <si>
    <t>No</t>
  </si>
  <si>
    <t>Bride Side</t>
  </si>
  <si>
    <t>Close Friends</t>
  </si>
  <si>
    <t>Declined</t>
  </si>
  <si>
    <t>Core Vendor Services</t>
  </si>
  <si>
    <t>Family Meeting</t>
  </si>
  <si>
    <t>Vendor</t>
  </si>
  <si>
    <t>Attire &amp; Jewelry</t>
  </si>
  <si>
    <t>Pending Confirmation</t>
  </si>
  <si>
    <t>Joint</t>
  </si>
  <si>
    <t>Makeup / Styling</t>
  </si>
  <si>
    <t>Paid in Full</t>
  </si>
  <si>
    <t>Mutual Friends</t>
  </si>
  <si>
    <t>Classmates</t>
  </si>
  <si>
    <t>Tentative</t>
  </si>
  <si>
    <t>Site Visit</t>
  </si>
  <si>
    <t>None</t>
  </si>
  <si>
    <t>Paper &amp; Gifts</t>
  </si>
  <si>
    <t>Completed</t>
  </si>
  <si>
    <t>Best Man</t>
  </si>
  <si>
    <t>Photo / Video</t>
  </si>
  <si>
    <t>Colleagues</t>
  </si>
  <si>
    <t>Not Contacted</t>
  </si>
  <si>
    <t>WeChat Confirmation</t>
  </si>
  <si>
    <t>Guest Execution</t>
  </si>
  <si>
    <t>Maid of Honor</t>
  </si>
  <si>
    <t>Banquet Venue</t>
  </si>
  <si>
    <t>Other</t>
  </si>
  <si>
    <t>Contingency / Misc</t>
  </si>
  <si>
    <t>Inspiration Note</t>
  </si>
  <si>
    <t>Planning Team</t>
  </si>
  <si>
    <t>Floral Design</t>
  </si>
  <si>
    <t xml:space="preserve">Last updated: </t>
  </si>
  <si>
    <t>Completion Rate</t>
  </si>
  <si>
    <t>Total Budget</t>
  </si>
  <si>
    <t>Actual Cost</t>
  </si>
  <si>
    <t>Confirmed Guests</t>
  </si>
  <si>
    <t>Overdue Tasks</t>
  </si>
  <si>
    <t>Open Planning Snapshot</t>
  </si>
  <si>
    <t>Area</t>
  </si>
  <si>
    <t>Current Value</t>
  </si>
  <si>
    <t>Source</t>
  </si>
  <si>
    <t>Task completion</t>
  </si>
  <si>
    <t>Budget used</t>
  </si>
  <si>
    <t>Budget_Manager + Vendor_Tracker</t>
  </si>
  <si>
    <t>Deposit paid</t>
  </si>
  <si>
    <t>Final balance</t>
  </si>
  <si>
    <t>Invited guests</t>
  </si>
  <si>
    <t>Tentative guests</t>
  </si>
  <si>
    <t>Upcoming Task Feed</t>
  </si>
  <si>
    <t>Task_ID</t>
  </si>
  <si>
    <t>Category</t>
  </si>
  <si>
    <t>Task_Name</t>
  </si>
  <si>
    <t>Due_Date</t>
  </si>
  <si>
    <t>Timeline and Task Tracker</t>
  </si>
  <si>
    <t>Status</t>
  </si>
  <si>
    <t>Notes</t>
  </si>
  <si>
    <t>T001</t>
  </si>
  <si>
    <t>Confirm banquet venue and ceremony flow</t>
  </si>
  <si>
    <t>Confirm ceremony start time and menu package</t>
  </si>
  <si>
    <t>T002</t>
  </si>
  <si>
    <t>Book makeup artist and trial session</t>
  </si>
  <si>
    <t>Ask for trial makeup photos and schedule</t>
  </si>
  <si>
    <t>T003</t>
  </si>
  <si>
    <t>Send first RSVP message to family groups</t>
  </si>
  <si>
    <t>Overdue sample to test warning rule</t>
  </si>
  <si>
    <t>T004</t>
  </si>
  <si>
    <t>Approve invitation wording and print quantity</t>
  </si>
  <si>
    <t>Final proof approved</t>
  </si>
  <si>
    <t>Vendor and Payment Tracker</t>
  </si>
  <si>
    <t>Vendor_ID</t>
  </si>
  <si>
    <t>Vendor_Name</t>
  </si>
  <si>
    <t>Contact</t>
  </si>
  <si>
    <t>Contract_Amt</t>
  </si>
  <si>
    <t>Deposit_Paid</t>
  </si>
  <si>
    <t>Final_Balance</t>
  </si>
  <si>
    <t>Contract_Saved</t>
  </si>
  <si>
    <t>V001</t>
  </si>
  <si>
    <t>Harbor View Banquet Hall</t>
  </si>
  <si>
    <t>Ms. Chen - 13800000000</t>
  </si>
  <si>
    <t>V002</t>
  </si>
  <si>
    <t>Blue Frame Studio</t>
  </si>
  <si>
    <t>Mr. Lin - 13900000000</t>
  </si>
  <si>
    <t>V003</t>
  </si>
  <si>
    <t>Mori Floral</t>
  </si>
  <si>
    <t>Ivy - 13700000000</t>
  </si>
  <si>
    <t>Guest List and RSVP Tracker</t>
  </si>
  <si>
    <t>Guest_ID</t>
  </si>
  <si>
    <t>Guest_Name</t>
  </si>
  <si>
    <t>Side</t>
  </si>
  <si>
    <t>Group</t>
  </si>
  <si>
    <t>Est_Guests</t>
  </si>
  <si>
    <t>Act_Guests</t>
  </si>
  <si>
    <t>Table_No</t>
  </si>
  <si>
    <t>Dietary_Req</t>
  </si>
  <si>
    <t>G001</t>
  </si>
  <si>
    <t>Alex Zhang</t>
  </si>
  <si>
    <t>1</t>
  </si>
  <si>
    <t>No alcohol</t>
  </si>
  <si>
    <t>G002</t>
  </si>
  <si>
    <t>Mia Wang</t>
  </si>
  <si>
    <t>Vegetarian</t>
  </si>
  <si>
    <t>G003</t>
  </si>
  <si>
    <t>Chris Lee</t>
  </si>
  <si>
    <t>G004</t>
  </si>
  <si>
    <t>Emma Chen</t>
  </si>
  <si>
    <t>Budget Manager</t>
  </si>
  <si>
    <t>Budget_ID</t>
  </si>
  <si>
    <t>Plan_Budget</t>
  </si>
  <si>
    <t>Actual_Cost</t>
  </si>
  <si>
    <t>Variance</t>
  </si>
  <si>
    <t>B01</t>
  </si>
  <si>
    <t>B02</t>
  </si>
  <si>
    <t>B03</t>
  </si>
  <si>
    <t>B04</t>
  </si>
  <si>
    <t>B05</t>
  </si>
  <si>
    <t>Decision Notes and Call Log</t>
  </si>
  <si>
    <t>Note_ID</t>
  </si>
  <si>
    <t>Date</t>
  </si>
  <si>
    <t>Scenario</t>
  </si>
  <si>
    <t>Content</t>
  </si>
  <si>
    <t>Decision</t>
  </si>
  <si>
    <t>Link_ID</t>
  </si>
  <si>
    <t>N001</t>
  </si>
  <si>
    <t>Confirmed trial makeup schedule with planner.</t>
  </si>
  <si>
    <t>Trial makeup is booked for next Saturday at noon.</t>
  </si>
  <si>
    <t>N002</t>
  </si>
  <si>
    <t>Discussed banquet table count assumptions.</t>
  </si>
  <si>
    <t>Use 18 tables as initial planning baseline.</t>
  </si>
  <si>
    <t>Calculation Summary</t>
  </si>
  <si>
    <t>Metric</t>
  </si>
  <si>
    <t>Formula / Value</t>
  </si>
  <si>
    <t>Total Tasks</t>
  </si>
  <si>
    <t>Completed Tasks</t>
  </si>
  <si>
    <t>Final Balance</t>
  </si>
  <si>
    <t>Invited Guests</t>
  </si>
  <si>
    <t>Tentative Guests</t>
  </si>
  <si>
    <t>Upcoming Tasks</t>
  </si>
  <si>
    <t>Row Labels</t>
  </si>
  <si>
    <t>(blank)</t>
  </si>
  <si>
    <t>Grand Total</t>
  </si>
  <si>
    <t>Sum of Est_Guests</t>
  </si>
  <si>
    <t>Task Workload</t>
  </si>
  <si>
    <t>Sum of Plan_Budget</t>
  </si>
  <si>
    <t>Sum of Actual_Cost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</si>
</sst>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5" formatCode="yyyy\-mm\-dd"/>
    <numFmt numFmtId="167" formatCode="0.0%"/>
    <numFmt numFmtId="168" formatCode="\¥#,##0"/>
    <numFmt numFmtId="170" formatCode="[$$-409]#,##0.00"/>
    <numFmt numFmtId="172" formatCode="yyyy\-mm\-dd;@"/>
    <numFmt numFmtId="173" formatCode="[$$-409]#,##0"/>
    <numFmt numFmtId="174" formatCode="\$#,##0"/>
  </numFmts>
  <fonts count="10" x14ac:knownFonts="1">
    <font>
      <sz val="11"/>
      <color theme="1"/>
      <name val="等线"/>
      <family val="2"/>
      <scheme val="minor"/>
    </font>
    <font>
      <sz val="12"/>
      <color rgb="FF1A1A2E"/>
      <name val="等线"/>
    </font>
    <font>
      <b/>
      <sz val="13"/>
      <color rgb="FFF5F5F2"/>
      <name val="Garamond"/>
      <family val="1"/>
    </font>
    <font>
      <b/>
      <sz val="24"/>
      <color rgb="FF051C2C"/>
      <name val="Garamond"/>
      <family val="1"/>
    </font>
    <font>
      <b/>
      <sz val="16"/>
      <color rgb="FF051C2C"/>
      <name val="Garamond"/>
      <family val="1"/>
    </font>
    <font>
      <b/>
      <sz val="14"/>
      <color rgb="FFF5F5F2"/>
      <name val="Garamond"/>
      <family val="1"/>
    </font>
    <font>
      <sz val="10"/>
      <color rgb="FF888888"/>
      <name val="等线"/>
    </font>
    <font>
      <b/>
      <sz val="26"/>
      <color rgb="FF051C2C"/>
      <name val="Garamond"/>
      <family val="1"/>
    </font>
    <font>
      <sz val="12"/>
      <color theme="1"/>
      <name val="Garamond"/>
      <family val="1"/>
      <scheme val="major"/>
    </font>
    <font>
      <sz val="12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2"/>
      </patternFill>
    </fill>
    <fill>
      <patternFill patternType="solid">
        <fgColor rgb="FF051C2C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051C2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51C2C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5F5F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" fillId="5" borderId="2" xfId="0" applyFont="1" applyFill="1" applyBorder="1" applyAlignment="1" applyProtection="1">
      <alignment vertical="center" wrapText="1"/>
      <protection locked="0"/>
    </xf>
    <xf numFmtId="165" fontId="1" fillId="5" borderId="2" xfId="0" applyNumberFormat="1" applyFont="1" applyFill="1" applyBorder="1" applyAlignment="1" applyProtection="1">
      <alignment vertical="center" wrapText="1"/>
      <protection locked="0"/>
    </xf>
    <xf numFmtId="167" fontId="1" fillId="4" borderId="0" xfId="0" applyNumberFormat="1" applyFont="1" applyFill="1" applyAlignment="1">
      <alignment vertical="center" wrapText="1"/>
    </xf>
    <xf numFmtId="168" fontId="1" fillId="4" borderId="0" xfId="0" applyNumberFormat="1" applyFont="1" applyFill="1" applyAlignment="1">
      <alignment vertical="center" wrapText="1"/>
    </xf>
    <xf numFmtId="168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/>
    <xf numFmtId="1" fontId="7" fillId="4" borderId="3" xfId="0" applyNumberFormat="1" applyFont="1" applyFill="1" applyBorder="1" applyAlignment="1">
      <alignment horizontal="left" vertical="center" wrapText="1"/>
    </xf>
    <xf numFmtId="0" fontId="0" fillId="4" borderId="3" xfId="0" applyFill="1" applyBorder="1"/>
    <xf numFmtId="0" fontId="6" fillId="4" borderId="3" xfId="0" applyFont="1" applyFill="1" applyBorder="1" applyAlignment="1">
      <alignment vertical="center" wrapText="1"/>
    </xf>
    <xf numFmtId="167" fontId="7" fillId="4" borderId="3" xfId="0" applyNumberFormat="1" applyFont="1" applyFill="1" applyBorder="1" applyAlignment="1">
      <alignment horizontal="left" vertical="center" wrapText="1"/>
    </xf>
    <xf numFmtId="170" fontId="7" fillId="4" borderId="3" xfId="0" applyNumberFormat="1" applyFont="1" applyFill="1" applyBorder="1" applyAlignment="1">
      <alignment horizontal="left" vertical="center" wrapText="1"/>
    </xf>
    <xf numFmtId="170" fontId="0" fillId="4" borderId="3" xfId="0" applyNumberFormat="1" applyFill="1" applyBorder="1"/>
    <xf numFmtId="172" fontId="1" fillId="5" borderId="2" xfId="0" applyNumberFormat="1" applyFont="1" applyFill="1" applyBorder="1" applyAlignment="1" applyProtection="1">
      <alignment vertical="center" wrapText="1"/>
      <protection locked="0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0" xfId="0" applyAlignment="1"/>
    <xf numFmtId="170" fontId="1" fillId="5" borderId="2" xfId="0" applyNumberFormat="1" applyFont="1" applyFill="1" applyBorder="1" applyAlignment="1" applyProtection="1">
      <alignment vertical="center" wrapText="1"/>
      <protection locked="0"/>
    </xf>
    <xf numFmtId="170" fontId="1" fillId="2" borderId="2" xfId="0" applyNumberFormat="1" applyFont="1" applyFill="1" applyBorder="1" applyAlignment="1">
      <alignment vertical="center" wrapText="1"/>
    </xf>
    <xf numFmtId="172" fontId="1" fillId="2" borderId="0" xfId="0" applyNumberFormat="1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1" fillId="4" borderId="2" xfId="0" applyNumberFormat="1" applyFont="1" applyFill="1" applyBorder="1" applyAlignment="1">
      <alignment vertical="center"/>
    </xf>
    <xf numFmtId="167" fontId="1" fillId="2" borderId="2" xfId="0" applyNumberFormat="1" applyFont="1" applyFill="1" applyBorder="1" applyAlignment="1">
      <alignment vertical="center"/>
    </xf>
    <xf numFmtId="173" fontId="1" fillId="4" borderId="2" xfId="0" applyNumberFormat="1" applyFont="1" applyFill="1" applyBorder="1" applyAlignment="1">
      <alignment vertical="center"/>
    </xf>
    <xf numFmtId="174" fontId="1" fillId="2" borderId="2" xfId="0" applyNumberFormat="1" applyFont="1" applyFill="1" applyBorder="1" applyAlignment="1">
      <alignment vertical="center"/>
    </xf>
    <xf numFmtId="0" fontId="1" fillId="4" borderId="2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8" fillId="6" borderId="0" xfId="0" applyFont="1" applyFill="1"/>
    <xf numFmtId="0" fontId="9" fillId="0" borderId="0" xfId="0" applyFont="1" applyAlignment="1">
      <alignment horizontal="left"/>
    </xf>
    <xf numFmtId="0" fontId="9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9" fillId="0" borderId="0" xfId="0" applyFont="1"/>
  </cellXfs>
  <cellStyles count="1">
    <cellStyle name="Normal" xfId="0" builtinId="0"/>
  </cellStyles>
  <dxfs count="81">
    <dxf>
      <font>
        <b/>
        <color rgb="FF00C853"/>
        <name val="等线"/>
      </font>
    </dxf>
    <dxf>
      <font>
        <b/>
        <color rgb="FFD32F2F"/>
        <name val="等线"/>
      </font>
    </dxf>
    <dxf>
      <font>
        <b/>
        <color rgb="FFD32F2F"/>
        <name val="等线"/>
      </font>
      <fill>
        <patternFill patternType="solid">
          <fgColor rgb="FFFFFFFF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sz val="12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ont>
        <name val="Garamond"/>
        <family val="1"/>
        <scheme val="major"/>
      </font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fill>
        <patternFill patternType="solid">
          <bgColor rgb="FF051C2C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sz val="12"/>
        <color rgb="FF1A1A2E"/>
        <name val="等线"/>
        <scheme val="none"/>
      </font>
      <numFmt numFmtId="170" formatCode="[$$-409]#,##0.00"/>
      <fill>
        <patternFill patternType="solid">
          <fgColor indexed="64"/>
          <bgColor rgb="FFF5F5F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1A2E"/>
        <name val="等线"/>
        <scheme val="none"/>
      </font>
      <numFmt numFmtId="170" formatCode="[$$-409]#,##0.00"/>
      <fill>
        <patternFill patternType="solid">
          <fgColor indexed="64"/>
          <bgColor rgb="FFF5F5F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1A2E"/>
        <name val="等线"/>
        <scheme val="none"/>
      </font>
      <numFmt numFmtId="170" formatCode="[$$-409]#,##0.00"/>
      <fill>
        <patternFill patternType="solid">
          <fgColor indexed="64"/>
          <bgColor rgb="FFFFFDE7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  <protection locked="0" hidden="0"/>
    </dxf>
    <dxf>
      <numFmt numFmtId="170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1A2E"/>
        <name val="等线"/>
        <scheme val="none"/>
      </font>
      <numFmt numFmtId="170" formatCode="[$$-409]#,##0.00"/>
      <fill>
        <patternFill patternType="solid">
          <fgColor indexed="64"/>
          <bgColor rgb="FFFFFDE7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1A2E"/>
        <name val="等线"/>
        <scheme val="none"/>
      </font>
      <numFmt numFmtId="170" formatCode="[$$-409]#,##0.00"/>
      <fill>
        <patternFill patternType="solid">
          <fgColor indexed="64"/>
          <bgColor rgb="FFFFFDE7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  <protection locked="0" hidden="0"/>
    </dxf>
    <dxf>
      <numFmt numFmtId="172" formatCode="yyyy\-mm\-dd;@"/>
    </dxf>
    <dxf>
      <numFmt numFmtId="0" formatCode="General"/>
    </dxf>
  </dxfs>
  <tableStyles count="1" defaultTableStyle="TableStyleMedium9" defaultPivotStyle="PivotStyleLight16">
    <tableStyle name="Invisible" pivot="0" table="0" count="0" xr9:uid="{4DDA4FD1-4583-4F43-9E97-37D79495CBE6}"/>
  </tableStyles>
  <colors>
    <mruColors>
      <color rgb="FF051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[Wedding_Control_Board.xlsx]Dashboard!PivotTable3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layout>
        <c:manualLayout>
          <c:xMode val="edge"/>
          <c:yMode val="edge"/>
          <c:x val="1.531531705359348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175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3175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3175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3175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3175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Dashboard!$P$15</c:f>
              <c:strCache>
                <c:ptCount val="1"/>
                <c:pt idx="0">
                  <c:v>Total</c:v>
                </c:pt>
              </c:strCache>
            </c:strRef>
          </c:tx>
          <c:spPr>
            <a:ln w="3175"/>
          </c:spPr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64-45D7-A794-76FA81AC13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64-45D7-A794-76FA81AC13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64-45D7-A794-76FA81AC13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64-45D7-A794-76FA81AC13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64-45D7-A794-76FA81AC13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Dashboard!$O$16:$O$21</c:f>
              <c:strCache>
                <c:ptCount val="5"/>
                <c:pt idx="0">
                  <c:v>Confirmed</c:v>
                </c:pt>
                <c:pt idx="1">
                  <c:v>Declined</c:v>
                </c:pt>
                <c:pt idx="2">
                  <c:v>Not Contacted</c:v>
                </c:pt>
                <c:pt idx="3">
                  <c:v>Tentative</c:v>
                </c:pt>
                <c:pt idx="4">
                  <c:v>(blank)</c:v>
                </c:pt>
              </c:strCache>
            </c:strRef>
          </c:cat>
          <c:val>
            <c:numRef>
              <c:f>Dashboard!$P$16:$P$21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C-41CE-9F6B-8EC98BDAC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rgbClr val="D9D9D9"/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[Wedding_Control_Board.xlsx]Dashboard!PivotTable5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layout>
        <c:manualLayout>
          <c:xMode val="edge"/>
          <c:yMode val="edge"/>
          <c:x val="1.3888888888888888E-2"/>
          <c:y val="2.7729641094018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Dashboard!$H$15</c:f>
              <c:strCache>
                <c:ptCount val="1"/>
                <c:pt idx="0">
                  <c:v>Sum of Plan_Budget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Dashboard!$G$16:$G$22</c:f>
              <c:strCache>
                <c:ptCount val="6"/>
                <c:pt idx="0">
                  <c:v>Attire &amp; Jewelry</c:v>
                </c:pt>
                <c:pt idx="1">
                  <c:v>Contingency / Misc</c:v>
                </c:pt>
                <c:pt idx="2">
                  <c:v>Core Vendor Services</c:v>
                </c:pt>
                <c:pt idx="3">
                  <c:v>Paper &amp; Gifts</c:v>
                </c:pt>
                <c:pt idx="4">
                  <c:v>Venue &amp; Banquet</c:v>
                </c:pt>
                <c:pt idx="5">
                  <c:v>(blank)</c:v>
                </c:pt>
              </c:strCache>
            </c:strRef>
          </c:cat>
          <c:val>
            <c:numRef>
              <c:f>Dashboard!$H$16:$H$22</c:f>
              <c:numCache>
                <c:formatCode>General</c:formatCode>
                <c:ptCount val="6"/>
                <c:pt idx="0">
                  <c:v>60000</c:v>
                </c:pt>
                <c:pt idx="1">
                  <c:v>35000</c:v>
                </c:pt>
                <c:pt idx="2">
                  <c:v>110000</c:v>
                </c:pt>
                <c:pt idx="3">
                  <c:v>25000</c:v>
                </c:pt>
                <c:pt idx="4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F-4917-996F-F07546E6F240}"/>
            </c:ext>
          </c:extLst>
        </c:ser>
        <c:ser>
          <c:idx val="1"/>
          <c:order val="1"/>
          <c:tx>
            <c:strRef>
              <c:f>Dashboard!$I$15</c:f>
              <c:strCache>
                <c:ptCount val="1"/>
                <c:pt idx="0">
                  <c:v>Sum of Actual_Cost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Dashboard!$G$16:$G$22</c:f>
              <c:strCache>
                <c:ptCount val="6"/>
                <c:pt idx="0">
                  <c:v>Attire &amp; Jewelry</c:v>
                </c:pt>
                <c:pt idx="1">
                  <c:v>Contingency / Misc</c:v>
                </c:pt>
                <c:pt idx="2">
                  <c:v>Core Vendor Services</c:v>
                </c:pt>
                <c:pt idx="3">
                  <c:v>Paper &amp; Gifts</c:v>
                </c:pt>
                <c:pt idx="4">
                  <c:v>Venue &amp; Banquet</c:v>
                </c:pt>
                <c:pt idx="5">
                  <c:v>(blank)</c:v>
                </c:pt>
              </c:strCache>
            </c:strRef>
          </c:cat>
          <c:val>
            <c:numRef>
              <c:f>Dashboard!$I$16:$I$22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52000</c:v>
                </c:pt>
                <c:pt idx="3">
                  <c:v>0</c:v>
                </c:pt>
                <c:pt idx="4">
                  <c:v>208000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F-4917-996F-F07546E6F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3"/>
        <c:axId val="1135098272"/>
        <c:axId val="1135103072"/>
      </c:barChart>
      <c:catAx>
        <c:axId val="1135098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103072"/>
        <c:crosses val="autoZero"/>
        <c:auto val="1"/>
        <c:lblAlgn val="ctr"/>
        <c:lblOffset val="100"/>
        <c:noMultiLvlLbl val="0"/>
      </c:catAx>
      <c:valAx>
        <c:axId val="113510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9827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rgbClr val="D9D9D9"/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14</xdr:row>
      <xdr:rowOff>0</xdr:rowOff>
    </xdr:from>
    <xdr:to>
      <xdr:col>18</xdr:col>
      <xdr:colOff>9524</xdr:colOff>
      <xdr:row>28</xdr:row>
      <xdr:rowOff>0</xdr:rowOff>
    </xdr:to>
    <xdr:graphicFrame macro="">
      <xdr:nvGraphicFramePr>
        <xdr:cNvPr id="5" name="ts5AF">
          <a:extLst>
            <a:ext uri="{FF2B5EF4-FFF2-40B4-BE49-F238E27FC236}">
              <a16:creationId xmlns:a16="http://schemas.microsoft.com/office/drawing/2014/main" id="{3E420C67-C6E3-C93D-A1A9-9CA8F47B7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161161</xdr:rowOff>
    </xdr:from>
    <xdr:to>
      <xdr:col>13</xdr:col>
      <xdr:colOff>0</xdr:colOff>
      <xdr:row>28</xdr:row>
      <xdr:rowOff>0</xdr:rowOff>
    </xdr:to>
    <xdr:graphicFrame macro="">
      <xdr:nvGraphicFramePr>
        <xdr:cNvPr id="8" name="ts9A5">
          <a:extLst>
            <a:ext uri="{FF2B5EF4-FFF2-40B4-BE49-F238E27FC236}">
              <a16:creationId xmlns:a16="http://schemas.microsoft.com/office/drawing/2014/main" id="{5B91FB8E-A1E3-CFC2-68D4-577222D2B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0.00153</cdr:x>
      <cdr:y>0.00348</cdr:y>
    </cdr:from>
    <cdr:to>
      <cdr:x>0.99847</cdr:x>
      <cdr:y>0.12579</cdr:y>
    </cdr:to>
    <cdr:sp macro="" textlink="">
      <cdr:nvSpPr>
        <cdr:cNvPr id="2" name="tusimpleChartTitle">
          <a:extLst xmlns:a="http://schemas.openxmlformats.org/drawingml/2006/main">
            <a:ext uri="{FF2B5EF4-FFF2-40B4-BE49-F238E27FC236}">
              <a16:creationId xmlns:a16="http://schemas.microsoft.com/office/drawing/2014/main" id="{05C863C6-1AFB-1B6B-6041-3EB4CE63F24A}"/>
            </a:ext>
          </a:extLst>
        </cdr:cNvPr>
        <cdr:cNvSpPr txBox="1"/>
      </cdr:nvSpPr>
      <cdr:spPr>
        <a:xfrm xmlns:a="http://schemas.openxmlformats.org/drawingml/2006/main">
          <a:off x="6340" y="9533"/>
          <a:ext cx="4133496" cy="3355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cdr:spPr>
      <cdr:txBody>
        <a:bodyPr xmlns:a="http://schemas.openxmlformats.org/drawingml/2006/main" vertOverflow="clip" vert="horz" rtlCol="0">
          <a:spAutoFit/>
        </a:bodyPr>
        <a:lstStyle xmlns:a="http://schemas.openxmlformats.org/drawingml/2006/main"/>
        <a:p xmlns:a="http://schemas.openxmlformats.org/drawingml/2006/main">
          <a:r>
            <a:rPr lang="en-US" sz="1400"/>
            <a:t>RSVP Shape</a:t>
          </a:r>
          <a:endParaRPr lang="en-US" sz="1400" kern="1200"/>
        </a:p>
      </cdr:txBody>
    </cdr:sp>
  </cdr:relSizeAnchor>
  <cdr:absSizeAnchor xmlns:cdr="http://schemas.openxmlformats.org/drawingml/2006/chartDrawing">
    <cdr:from>
      <cdr:x>0.02446</cdr:x>
      <cdr:y>0.00232</cdr:y>
    </cdr:from>
    <cdr:ext cx="380383" cy="31776"/>
    <cdr:sp macro="" textlink="">
      <cdr:nvSpPr>
        <cdr:cNvPr id="3" name="tusimpleMarker">
          <a:extLst xmlns:a="http://schemas.openxmlformats.org/drawingml/2006/main">
            <a:ext uri="{FF2B5EF4-FFF2-40B4-BE49-F238E27FC236}">
              <a16:creationId xmlns:a16="http://schemas.microsoft.com/office/drawing/2014/main" id="{BE55978D-0A47-284D-0214-B1E19AFA042B}"/>
            </a:ext>
          </a:extLst>
        </cdr:cNvPr>
        <cdr:cNvSpPr txBox="1"/>
      </cdr:nvSpPr>
      <cdr:spPr>
        <a:xfrm xmlns:a="http://schemas.openxmlformats.org/drawingml/2006/main">
          <a:off x="101600" y="6350"/>
          <a:ext cx="381000" cy="317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absSizeAnchor>
  <cdr:relSizeAnchor xmlns:cdr="http://schemas.openxmlformats.org/drawingml/2006/chartDrawing">
    <cdr:from>
      <cdr:x>0.00306</cdr:x>
      <cdr:y>0.9305</cdr:y>
    </cdr:from>
    <cdr:to>
      <cdr:x>1</cdr:x>
      <cdr:y>1</cdr:y>
    </cdr:to>
    <cdr:sp macro="" textlink="">
      <cdr:nvSpPr>
        <cdr:cNvPr id="4" name="tusimpleFootNote">
          <a:extLst xmlns:a="http://schemas.openxmlformats.org/drawingml/2006/main">
            <a:ext uri="{FF2B5EF4-FFF2-40B4-BE49-F238E27FC236}">
              <a16:creationId xmlns:a16="http://schemas.microsoft.com/office/drawing/2014/main" id="{7577B031-7280-BD23-3E66-F05922BEBBF3}"/>
            </a:ext>
          </a:extLst>
        </cdr:cNvPr>
        <cdr:cNvSpPr txBox="1"/>
      </cdr:nvSpPr>
      <cdr:spPr>
        <a:xfrm xmlns:a="http://schemas.openxmlformats.org/drawingml/2006/main">
          <a:off x="50800" y="2601259"/>
          <a:ext cx="414020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"/>
          </a:srgbClr>
        </a:solidFill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800" kern="1200">
              <a:solidFill>
                <a:srgbClr val="A6A6A6"/>
              </a:solidFill>
            </a:rPr>
            <a:t>   </a:t>
          </a:r>
        </a:p>
      </cdr:txBody>
    </cdr:sp>
  </cdr:relSizeAnchor>
  <cdr:relSizeAnchor xmlns:cdr="http://schemas.openxmlformats.org/drawingml/2006/chartDrawing">
    <cdr:from>
      <cdr:x>0.00306</cdr:x>
      <cdr:y>0.12974</cdr:y>
    </cdr:from>
    <cdr:to>
      <cdr:x>1</cdr:x>
      <cdr:y>0.22682</cdr:y>
    </cdr:to>
    <cdr:sp macro="" textlink="">
      <cdr:nvSpPr>
        <cdr:cNvPr id="5" name="tusimpleSubTitle">
          <a:extLst xmlns:a="http://schemas.openxmlformats.org/drawingml/2006/main">
            <a:ext uri="{FF2B5EF4-FFF2-40B4-BE49-F238E27FC236}">
              <a16:creationId xmlns:a16="http://schemas.microsoft.com/office/drawing/2014/main" id="{EF24892D-FA71-026E-8D08-E89095AA6F17}"/>
            </a:ext>
          </a:extLst>
        </cdr:cNvPr>
        <cdr:cNvSpPr txBox="1"/>
      </cdr:nvSpPr>
      <cdr:spPr>
        <a:xfrm xmlns:a="http://schemas.openxmlformats.org/drawingml/2006/main">
          <a:off x="12700" y="355600"/>
          <a:ext cx="4140200" cy="26609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"/>
          </a:srgbClr>
        </a:solidFill>
      </cdr:spPr>
      <cdr:txBody>
        <a:bodyPr xmlns:a="http://schemas.openxmlformats.org/drawingml/2006/main" vertOverflow="clip" vert="horz" rtlCol="0">
          <a:spAutoFit/>
        </a:bodyPr>
        <a:lstStyle xmlns:a="http://schemas.openxmlformats.org/drawingml/2006/main"/>
        <a:p xmlns:a="http://schemas.openxmlformats.org/drawingml/2006/main">
          <a:r>
            <a:rPr lang="en-US" sz="1000" kern="1200"/>
            <a:t> 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0.00139</cdr:x>
      <cdr:y>0.00347</cdr:y>
    </cdr:from>
    <cdr:to>
      <cdr:x>0.99861</cdr:x>
      <cdr:y>0.12558</cdr:y>
    </cdr:to>
    <cdr:sp macro="" textlink="">
      <cdr:nvSpPr>
        <cdr:cNvPr id="2" name="tusimpleChartTitle">
          <a:extLst xmlns:a="http://schemas.openxmlformats.org/drawingml/2006/main">
            <a:ext uri="{FF2B5EF4-FFF2-40B4-BE49-F238E27FC236}">
              <a16:creationId xmlns:a16="http://schemas.microsoft.com/office/drawing/2014/main" id="{077B60DB-5FC1-41C9-0C21-FAFBB232A496}"/>
            </a:ext>
          </a:extLst>
        </cdr:cNvPr>
        <cdr:cNvSpPr txBox="1"/>
      </cdr:nvSpPr>
      <cdr:spPr>
        <a:xfrm xmlns:a="http://schemas.openxmlformats.org/drawingml/2006/main">
          <a:off x="6355" y="9535"/>
          <a:ext cx="4559290" cy="3355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cdr:spPr>
      <cdr:txBody>
        <a:bodyPr xmlns:a="http://schemas.openxmlformats.org/drawingml/2006/main" vertOverflow="clip" vert="horz" rtlCol="0">
          <a:spAutoFit/>
        </a:bodyPr>
        <a:lstStyle xmlns:a="http://schemas.openxmlformats.org/drawingml/2006/main"/>
        <a:p xmlns:a="http://schemas.openxmlformats.org/drawingml/2006/main">
          <a:r>
            <a:rPr lang="en-US" sz="1400"/>
            <a:t>Budget Plan vs Actual</a:t>
          </a:r>
          <a:endParaRPr lang="en-US" sz="1400" kern="1200"/>
        </a:p>
      </cdr:txBody>
    </cdr:sp>
  </cdr:relSizeAnchor>
  <cdr:absSizeAnchor xmlns:cdr="http://schemas.openxmlformats.org/drawingml/2006/chartDrawing">
    <cdr:from>
      <cdr:x>0.02223</cdr:x>
      <cdr:y>0.00232</cdr:y>
    </cdr:from>
    <cdr:ext cx="381093" cy="31808"/>
    <cdr:sp macro="" textlink="">
      <cdr:nvSpPr>
        <cdr:cNvPr id="3" name="tusimpleMarker">
          <a:extLst xmlns:a="http://schemas.openxmlformats.org/drawingml/2006/main">
            <a:ext uri="{FF2B5EF4-FFF2-40B4-BE49-F238E27FC236}">
              <a16:creationId xmlns:a16="http://schemas.microsoft.com/office/drawing/2014/main" id="{1D887065-43FB-A52C-BA3A-629E0D169708}"/>
            </a:ext>
          </a:extLst>
        </cdr:cNvPr>
        <cdr:cNvSpPr txBox="1"/>
      </cdr:nvSpPr>
      <cdr:spPr>
        <a:xfrm xmlns:a="http://schemas.openxmlformats.org/drawingml/2006/main">
          <a:off x="101600" y="6350"/>
          <a:ext cx="381000" cy="317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absSizeAnchor>
  <cdr:relSizeAnchor xmlns:cdr="http://schemas.openxmlformats.org/drawingml/2006/chartDrawing">
    <cdr:from>
      <cdr:x>0.00278</cdr:x>
      <cdr:y>0.93055</cdr:y>
    </cdr:from>
    <cdr:to>
      <cdr:x>1</cdr:x>
      <cdr:y>1</cdr:y>
    </cdr:to>
    <cdr:sp macro="" textlink="">
      <cdr:nvSpPr>
        <cdr:cNvPr id="4" name="tusimpleFootNote">
          <a:extLst xmlns:a="http://schemas.openxmlformats.org/drawingml/2006/main">
            <a:ext uri="{FF2B5EF4-FFF2-40B4-BE49-F238E27FC236}">
              <a16:creationId xmlns:a16="http://schemas.microsoft.com/office/drawing/2014/main" id="{BD4541D8-5BE3-A8FC-2249-F425F685A6E1}"/>
            </a:ext>
          </a:extLst>
        </cdr:cNvPr>
        <cdr:cNvSpPr txBox="1"/>
      </cdr:nvSpPr>
      <cdr:spPr>
        <a:xfrm xmlns:a="http://schemas.openxmlformats.org/drawingml/2006/main">
          <a:off x="50800" y="2603219"/>
          <a:ext cx="4558179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"/>
          </a:srgbClr>
        </a:solidFill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800" kern="1200">
              <a:solidFill>
                <a:srgbClr val="A6A6A6"/>
              </a:solidFill>
            </a:rPr>
            <a:t>   </a:t>
          </a:r>
        </a:p>
      </cdr:txBody>
    </cdr:sp>
  </cdr:relSizeAnchor>
  <cdr:relSizeAnchor xmlns:cdr="http://schemas.openxmlformats.org/drawingml/2006/chartDrawing">
    <cdr:from>
      <cdr:x>0.00278</cdr:x>
      <cdr:y>0.12964</cdr:y>
    </cdr:from>
    <cdr:to>
      <cdr:x>1</cdr:x>
      <cdr:y>0.22666</cdr:y>
    </cdr:to>
    <cdr:sp macro="" textlink="">
      <cdr:nvSpPr>
        <cdr:cNvPr id="5" name="tusimpleSubTitle">
          <a:extLst xmlns:a="http://schemas.openxmlformats.org/drawingml/2006/main">
            <a:ext uri="{FF2B5EF4-FFF2-40B4-BE49-F238E27FC236}">
              <a16:creationId xmlns:a16="http://schemas.microsoft.com/office/drawing/2014/main" id="{8BCA429E-4C08-B232-1A55-05D87A54A412}"/>
            </a:ext>
          </a:extLst>
        </cdr:cNvPr>
        <cdr:cNvSpPr txBox="1"/>
      </cdr:nvSpPr>
      <cdr:spPr>
        <a:xfrm xmlns:a="http://schemas.openxmlformats.org/drawingml/2006/main">
          <a:off x="12700" y="355600"/>
          <a:ext cx="4558179" cy="26609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"/>
          </a:srgbClr>
        </a:solidFill>
      </cdr:spPr>
      <cdr:txBody>
        <a:bodyPr xmlns:a="http://schemas.openxmlformats.org/drawingml/2006/main" vertOverflow="clip" vert="horz" rtlCol="0">
          <a:spAutoFit/>
        </a:bodyPr>
        <a:lstStyle xmlns:a="http://schemas.openxmlformats.org/drawingml/2006/main"/>
        <a:p xmlns:a="http://schemas.openxmlformats.org/drawingml/2006/main">
          <a:r>
            <a:rPr lang="en-US" sz="1000" kern="1200"/>
            <a:t> 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ng Alex" refreshedDate="46190.856565046299" createdVersion="8" refreshedVersion="8" minRefreshableVersion="3" recordCount="100" xr:uid="{D5EC9518-8C0D-4301-96F6-DC246B1EDCC6}">
  <cacheSource type="worksheet">
    <worksheetSource name="tbl_Timeline_Tasks"/>
  </cacheSource>
  <cacheFields count="9">
    <cacheField name="Task_ID" numFmtId="0">
      <sharedItems containsBlank="1"/>
    </cacheField>
    <cacheField name="Category" numFmtId="0">
      <sharedItems containsBlank="1"/>
    </cacheField>
    <cacheField name="Task_Name" numFmtId="0">
      <sharedItems containsBlank="1"/>
    </cacheField>
    <cacheField name="Due_Date" numFmtId="172">
      <sharedItems containsNonDate="0" containsDate="1" containsString="0" containsBlank="1" minDate="2026-06-14T00:00:00" maxDate="2026-07-09T00:00:00" count="5">
        <d v="2026-06-24T00:00:00"/>
        <d v="2026-07-01T00:00:00"/>
        <d v="2026-06-14T00:00:00"/>
        <d v="2026-07-08T00:00:00"/>
        <m/>
      </sharedItems>
      <fieldGroup par="8"/>
    </cacheField>
    <cacheField name="Status" numFmtId="0">
      <sharedItems containsBlank="1" count="5">
        <s v="In Progress"/>
        <s v="Pending Confirmation"/>
        <s v="Not Started"/>
        <s v="Completed"/>
        <m/>
      </sharedItems>
    </cacheField>
    <cacheField name="Owner" numFmtId="0">
      <sharedItems containsBlank="1" count="5">
        <s v="Joint"/>
        <s v="Bride"/>
        <s v="Planning Team"/>
        <s v="Groom"/>
        <m/>
      </sharedItems>
    </cacheField>
    <cacheField name="Notes" numFmtId="0">
      <sharedItems containsBlank="1"/>
    </cacheField>
    <cacheField name="Days (Due_Date)" numFmtId="0" databaseField="0">
      <fieldGroup base="3">
        <rangePr groupBy="days" startDate="2026-06-14T00:00:00" endDate="2026-07-09T00:00:00"/>
        <groupItems count="368">
          <s v="&lt;2026/6/14"/>
          <s v="1-1月"/>
          <s v="2-1月"/>
          <s v="3-1月"/>
          <s v="4-1月"/>
          <s v="5-1月"/>
          <s v="6-1月"/>
          <s v="7-1月"/>
          <s v="8-1月"/>
          <s v="9-1月"/>
          <s v="10-1月"/>
          <s v="11-1月"/>
          <s v="12-1月"/>
          <s v="13-1月"/>
          <s v="14-1月"/>
          <s v="15-1月"/>
          <s v="16-1月"/>
          <s v="17-1月"/>
          <s v="18-1月"/>
          <s v="19-1月"/>
          <s v="20-1月"/>
          <s v="21-1月"/>
          <s v="22-1月"/>
          <s v="23-1月"/>
          <s v="24-1月"/>
          <s v="25-1月"/>
          <s v="26-1月"/>
          <s v="27-1月"/>
          <s v="28-1月"/>
          <s v="29-1月"/>
          <s v="30-1月"/>
          <s v="31-1月"/>
          <s v="1-2月"/>
          <s v="2-2月"/>
          <s v="3-2月"/>
          <s v="4-2月"/>
          <s v="5-2月"/>
          <s v="6-2月"/>
          <s v="7-2月"/>
          <s v="8-2月"/>
          <s v="9-2月"/>
          <s v="10-2月"/>
          <s v="11-2月"/>
          <s v="12-2月"/>
          <s v="13-2月"/>
          <s v="14-2月"/>
          <s v="15-2月"/>
          <s v="16-2月"/>
          <s v="17-2月"/>
          <s v="18-2月"/>
          <s v="19-2月"/>
          <s v="20-2月"/>
          <s v="21-2月"/>
          <s v="22-2月"/>
          <s v="23-2月"/>
          <s v="24-2月"/>
          <s v="25-2月"/>
          <s v="26-2月"/>
          <s v="27-2月"/>
          <s v="28-2月"/>
          <s v="29-2月"/>
          <s v="1-3月"/>
          <s v="2-3月"/>
          <s v="3-3月"/>
          <s v="4-3月"/>
          <s v="5-3月"/>
          <s v="6-3月"/>
          <s v="7-3月"/>
          <s v="8-3月"/>
          <s v="9-3月"/>
          <s v="10-3月"/>
          <s v="11-3月"/>
          <s v="12-3月"/>
          <s v="13-3月"/>
          <s v="14-3月"/>
          <s v="15-3月"/>
          <s v="16-3月"/>
          <s v="17-3月"/>
          <s v="18-3月"/>
          <s v="19-3月"/>
          <s v="20-3月"/>
          <s v="21-3月"/>
          <s v="22-3月"/>
          <s v="23-3月"/>
          <s v="24-3月"/>
          <s v="25-3月"/>
          <s v="26-3月"/>
          <s v="27-3月"/>
          <s v="28-3月"/>
          <s v="29-3月"/>
          <s v="30-3月"/>
          <s v="31-3月"/>
          <s v="1-4月"/>
          <s v="2-4月"/>
          <s v="3-4月"/>
          <s v="4-4月"/>
          <s v="5-4月"/>
          <s v="6-4月"/>
          <s v="7-4月"/>
          <s v="8-4月"/>
          <s v="9-4月"/>
          <s v="10-4月"/>
          <s v="11-4月"/>
          <s v="12-4月"/>
          <s v="13-4月"/>
          <s v="14-4月"/>
          <s v="15-4月"/>
          <s v="16-4月"/>
          <s v="17-4月"/>
          <s v="18-4月"/>
          <s v="19-4月"/>
          <s v="20-4月"/>
          <s v="21-4月"/>
          <s v="22-4月"/>
          <s v="23-4月"/>
          <s v="24-4月"/>
          <s v="25-4月"/>
          <s v="26-4月"/>
          <s v="27-4月"/>
          <s v="28-4月"/>
          <s v="29-4月"/>
          <s v="30-4月"/>
          <s v="1-5月"/>
          <s v="2-5月"/>
          <s v="3-5月"/>
          <s v="4-5月"/>
          <s v="5-5月"/>
          <s v="6-5月"/>
          <s v="7-5月"/>
          <s v="8-5月"/>
          <s v="9-5月"/>
          <s v="10-5月"/>
          <s v="11-5月"/>
          <s v="12-5月"/>
          <s v="13-5月"/>
          <s v="14-5月"/>
          <s v="15-5月"/>
          <s v="16-5月"/>
          <s v="17-5月"/>
          <s v="18-5月"/>
          <s v="19-5月"/>
          <s v="20-5月"/>
          <s v="21-5月"/>
          <s v="22-5月"/>
          <s v="23-5月"/>
          <s v="24-5月"/>
          <s v="25-5月"/>
          <s v="26-5月"/>
          <s v="27-5月"/>
          <s v="28-5月"/>
          <s v="29-5月"/>
          <s v="30-5月"/>
          <s v="31-5月"/>
          <s v="1-6月"/>
          <s v="2-6月"/>
          <s v="3-6月"/>
          <s v="4-6月"/>
          <s v="5-6月"/>
          <s v="6-6月"/>
          <s v="7-6月"/>
          <s v="8-6月"/>
          <s v="9-6月"/>
          <s v="10-6月"/>
          <s v="11-6月"/>
          <s v="12-6月"/>
          <s v="13-6月"/>
          <s v="14-6月"/>
          <s v="15-6月"/>
          <s v="16-6月"/>
          <s v="17-6月"/>
          <s v="18-6月"/>
          <s v="19-6月"/>
          <s v="20-6月"/>
          <s v="21-6月"/>
          <s v="22-6月"/>
          <s v="23-6月"/>
          <s v="24-6月"/>
          <s v="25-6月"/>
          <s v="26-6月"/>
          <s v="27-6月"/>
          <s v="28-6月"/>
          <s v="29-6月"/>
          <s v="30-6月"/>
          <s v="1-7月"/>
          <s v="2-7月"/>
          <s v="3-7月"/>
          <s v="4-7月"/>
          <s v="5-7月"/>
          <s v="6-7月"/>
          <s v="7-7月"/>
          <s v="8-7月"/>
          <s v="9-7月"/>
          <s v="10-7月"/>
          <s v="11-7月"/>
          <s v="12-7月"/>
          <s v="13-7月"/>
          <s v="14-7月"/>
          <s v="15-7月"/>
          <s v="16-7月"/>
          <s v="17-7月"/>
          <s v="18-7月"/>
          <s v="19-7月"/>
          <s v="20-7月"/>
          <s v="21-7月"/>
          <s v="22-7月"/>
          <s v="23-7月"/>
          <s v="24-7月"/>
          <s v="25-7月"/>
          <s v="26-7月"/>
          <s v="27-7月"/>
          <s v="28-7月"/>
          <s v="29-7月"/>
          <s v="30-7月"/>
          <s v="31-7月"/>
          <s v="1-8月"/>
          <s v="2-8月"/>
          <s v="3-8月"/>
          <s v="4-8月"/>
          <s v="5-8月"/>
          <s v="6-8月"/>
          <s v="7-8月"/>
          <s v="8-8月"/>
          <s v="9-8月"/>
          <s v="10-8月"/>
          <s v="11-8月"/>
          <s v="12-8月"/>
          <s v="13-8月"/>
          <s v="14-8月"/>
          <s v="15-8月"/>
          <s v="16-8月"/>
          <s v="17-8月"/>
          <s v="18-8月"/>
          <s v="19-8月"/>
          <s v="20-8月"/>
          <s v="21-8月"/>
          <s v="22-8月"/>
          <s v="23-8月"/>
          <s v="24-8月"/>
          <s v="25-8月"/>
          <s v="26-8月"/>
          <s v="27-8月"/>
          <s v="28-8月"/>
          <s v="29-8月"/>
          <s v="30-8月"/>
          <s v="31-8月"/>
          <s v="1-9月"/>
          <s v="2-9月"/>
          <s v="3-9月"/>
          <s v="4-9月"/>
          <s v="5-9月"/>
          <s v="6-9月"/>
          <s v="7-9月"/>
          <s v="8-9月"/>
          <s v="9-9月"/>
          <s v="10-9月"/>
          <s v="11-9月"/>
          <s v="12-9月"/>
          <s v="13-9月"/>
          <s v="14-9月"/>
          <s v="15-9月"/>
          <s v="16-9月"/>
          <s v="17-9月"/>
          <s v="18-9月"/>
          <s v="19-9月"/>
          <s v="20-9月"/>
          <s v="21-9月"/>
          <s v="22-9月"/>
          <s v="23-9月"/>
          <s v="24-9月"/>
          <s v="25-9月"/>
          <s v="26-9月"/>
          <s v="27-9月"/>
          <s v="28-9月"/>
          <s v="29-9月"/>
          <s v="30-9月"/>
          <s v="1-10月"/>
          <s v="2-10月"/>
          <s v="3-10月"/>
          <s v="4-10月"/>
          <s v="5-10月"/>
          <s v="6-10月"/>
          <s v="7-10月"/>
          <s v="8-10月"/>
          <s v="9-10月"/>
          <s v="10-10月"/>
          <s v="11-10月"/>
          <s v="12-10月"/>
          <s v="13-10月"/>
          <s v="14-10月"/>
          <s v="15-10月"/>
          <s v="16-10月"/>
          <s v="17-10月"/>
          <s v="18-10月"/>
          <s v="19-10月"/>
          <s v="20-10月"/>
          <s v="21-10月"/>
          <s v="22-10月"/>
          <s v="23-10月"/>
          <s v="24-10月"/>
          <s v="25-10月"/>
          <s v="26-10月"/>
          <s v="27-10月"/>
          <s v="28-10月"/>
          <s v="29-10月"/>
          <s v="30-10月"/>
          <s v="31-10月"/>
          <s v="1-11月"/>
          <s v="2-11月"/>
          <s v="3-11月"/>
          <s v="4-11月"/>
          <s v="5-11月"/>
          <s v="6-11月"/>
          <s v="7-11月"/>
          <s v="8-11月"/>
          <s v="9-11月"/>
          <s v="10-11月"/>
          <s v="11-11月"/>
          <s v="12-11月"/>
          <s v="13-11月"/>
          <s v="14-11月"/>
          <s v="15-11月"/>
          <s v="16-11月"/>
          <s v="17-11月"/>
          <s v="18-11月"/>
          <s v="19-11月"/>
          <s v="20-11月"/>
          <s v="21-11月"/>
          <s v="22-11月"/>
          <s v="23-11月"/>
          <s v="24-11月"/>
          <s v="25-11月"/>
          <s v="26-11月"/>
          <s v="27-11月"/>
          <s v="28-11月"/>
          <s v="29-11月"/>
          <s v="30-11月"/>
          <s v="1-12月"/>
          <s v="2-12月"/>
          <s v="3-12月"/>
          <s v="4-12月"/>
          <s v="5-12月"/>
          <s v="6-12月"/>
          <s v="7-12月"/>
          <s v="8-12月"/>
          <s v="9-12月"/>
          <s v="10-12月"/>
          <s v="11-12月"/>
          <s v="12-12月"/>
          <s v="13-12月"/>
          <s v="14-12月"/>
          <s v="15-12月"/>
          <s v="16-12月"/>
          <s v="17-12月"/>
          <s v="18-12月"/>
          <s v="19-12月"/>
          <s v="20-12月"/>
          <s v="21-12月"/>
          <s v="22-12月"/>
          <s v="23-12月"/>
          <s v="24-12月"/>
          <s v="25-12月"/>
          <s v="26-12月"/>
          <s v="27-12月"/>
          <s v="28-12月"/>
          <s v="29-12月"/>
          <s v="30-12月"/>
          <s v="31-12月"/>
          <s v="&gt;2026/7/9"/>
        </groupItems>
      </fieldGroup>
    </cacheField>
    <cacheField name="Months (Due_Date)" numFmtId="0" databaseField="0">
      <fieldGroup base="3">
        <rangePr groupBy="months" startDate="2026-06-14T00:00:00" endDate="2026-07-09T00:00:00"/>
        <groupItems count="14">
          <s v="&lt;2026/6/14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7/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ng Alex" refreshedDate="46190.866584722222" createdVersion="8" refreshedVersion="8" minRefreshableVersion="3" recordCount="100" xr:uid="{5112F73B-9538-4E63-AC9E-0A35E59EA1B3}">
  <cacheSource type="worksheet">
    <worksheetSource name="tbl_Guest_RSVP"/>
  </cacheSource>
  <cacheFields count="9">
    <cacheField name="Guest_ID" numFmtId="0">
      <sharedItems containsBlank="1"/>
    </cacheField>
    <cacheField name="Guest_Name" numFmtId="0">
      <sharedItems containsBlank="1"/>
    </cacheField>
    <cacheField name="Side" numFmtId="0">
      <sharedItems containsBlank="1"/>
    </cacheField>
    <cacheField name="Group" numFmtId="0">
      <sharedItems containsBlank="1"/>
    </cacheField>
    <cacheField name="RSVP_Status" numFmtId="0">
      <sharedItems containsBlank="1" count="5">
        <s v="Confirmed"/>
        <s v="Tentative"/>
        <s v="Not Contacted"/>
        <s v="Declined"/>
        <m/>
      </sharedItems>
    </cacheField>
    <cacheField name="Est_Guests" numFmtId="0">
      <sharedItems containsString="0" containsBlank="1" containsNumber="1" containsInteger="1" minValue="1" maxValue="2"/>
    </cacheField>
    <cacheField name="Act_Guests" numFmtId="0">
      <sharedItems containsString="0" containsBlank="1" containsNumber="1" containsInteger="1" minValue="0" maxValue="2"/>
    </cacheField>
    <cacheField name="Table_No" numFmtId="0">
      <sharedItems containsBlank="1"/>
    </cacheField>
    <cacheField name="Dietary_Req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ng Alex" refreshedDate="46190.875970949077" createdVersion="8" refreshedVersion="8" minRefreshableVersion="3" recordCount="100" xr:uid="{71195CB1-D38A-4163-8D0D-244B1F667C12}">
  <cacheSource type="worksheet">
    <worksheetSource name="tbl_Budget_Manager[[Category]:[Actual_Cost]]"/>
  </cacheSource>
  <cacheFields count="3">
    <cacheField name="Category" numFmtId="0">
      <sharedItems containsBlank="1" count="6">
        <s v="Venue &amp; Banquet"/>
        <s v="Core Vendor Services"/>
        <s v="Attire &amp; Jewelry"/>
        <s v="Paper &amp; Gifts"/>
        <s v="Contingency / Misc"/>
        <m/>
      </sharedItems>
    </cacheField>
    <cacheField name="Plan_Budget" numFmtId="170">
      <sharedItems containsString="0" containsBlank="1" containsNumber="1" containsInteger="1" minValue="25000" maxValue="220000"/>
    </cacheField>
    <cacheField name="Actual_Cost" numFmtId="170">
      <sharedItems containsMixedTypes="1" containsNumber="1" containsInteger="1" minValue="0" maxValue="20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1"/>
    <s v="Venue &amp; Ceremony"/>
    <s v="Confirm banquet venue and ceremony flow"/>
    <x v="0"/>
    <x v="0"/>
    <x v="0"/>
    <s v="Confirm ceremony start time and menu package"/>
  </r>
  <r>
    <s v="T002"/>
    <s v="Core Vendors"/>
    <s v="Book makeup artist and trial session"/>
    <x v="1"/>
    <x v="1"/>
    <x v="1"/>
    <s v="Ask for trial makeup photos and schedule"/>
  </r>
  <r>
    <s v="T003"/>
    <s v="Guest Execution"/>
    <s v="Send first RSVP message to family groups"/>
    <x v="2"/>
    <x v="2"/>
    <x v="2"/>
    <s v="Overdue sample to test warning rule"/>
  </r>
  <r>
    <s v="T004"/>
    <s v="Paper &amp; Gifts"/>
    <s v="Approve invitation wording and print quantity"/>
    <x v="3"/>
    <x v="3"/>
    <x v="3"/>
    <s v="Final proof approved"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  <r>
    <m/>
    <m/>
    <m/>
    <x v="4"/>
    <x v="4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G001"/>
    <s v="Alex Zhang"/>
    <s v="Groom Side"/>
    <s v="Close Family"/>
    <x v="0"/>
    <n v="2"/>
    <n v="2"/>
    <s v="1"/>
    <s v="No alcohol"/>
  </r>
  <r>
    <s v="G002"/>
    <s v="Mia Wang"/>
    <s v="Bride Side"/>
    <s v="Close Friends"/>
    <x v="1"/>
    <n v="1"/>
    <n v="0"/>
    <m/>
    <s v="Vegetarian"/>
  </r>
  <r>
    <s v="G003"/>
    <s v="Chris Lee"/>
    <s v="Mutual Friends"/>
    <s v="Colleagues"/>
    <x v="2"/>
    <n v="1"/>
    <n v="0"/>
    <m/>
    <m/>
  </r>
  <r>
    <s v="G004"/>
    <s v="Emma Chen"/>
    <s v="Bride Side"/>
    <s v="Close Family"/>
    <x v="3"/>
    <n v="2"/>
    <n v="0"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  <r>
    <m/>
    <m/>
    <m/>
    <m/>
    <x v="4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220000"/>
    <n v="208000"/>
  </r>
  <r>
    <x v="1"/>
    <n v="110000"/>
    <n v="52000"/>
  </r>
  <r>
    <x v="2"/>
    <n v="60000"/>
    <n v="0"/>
  </r>
  <r>
    <x v="3"/>
    <n v="25000"/>
    <n v="0"/>
  </r>
  <r>
    <x v="4"/>
    <n v="35000"/>
    <n v="0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  <r>
    <x v="5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A9295-03EC-4157-824F-35FBFB5AA177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15:I22" firstHeaderRow="0" firstDataRow="1" firstDataCol="1"/>
  <pivotFields count="3">
    <pivotField axis="axisRow" showAll="0">
      <items count="7">
        <item x="2"/>
        <item x="4"/>
        <item x="1"/>
        <item x="3"/>
        <item x="0"/>
        <item x="5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_Budget" fld="1" baseField="0" baseItem="0"/>
    <dataField name="Sum of Actual_Cost" fld="2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76C03-0E47-4FB1-AFE8-4BF925E2CC75}" name="PivotTable4" cacheId="13" applyNumberFormats="0" applyBorderFormats="0" applyFontFormats="0" applyPatternFormats="0" applyAlignmentFormats="0" applyWidthHeightFormats="1" dataCaption="Values" updatedVersion="8" minRefreshableVersion="3" itemPrintTitles="1" createdVersion="8" indent="0" showHeaders="0" outline="1" outlineData="1" multipleFieldFilters="0">
  <location ref="G31:M38" firstHeaderRow="1" firstDataRow="2" firstDataCol="1"/>
  <pivotFields count="9">
    <pivotField dataField="1" showAll="0" defaultSubtotal="0"/>
    <pivotField showAll="0" defaultSubtotal="0"/>
    <pivotField showAll="0" defaultSubtotal="0"/>
    <pivotField showAll="0" defaultSubtotal="0">
      <items count="5">
        <item x="2"/>
        <item x="0"/>
        <item x="1"/>
        <item x="3"/>
        <item x="4"/>
      </items>
    </pivotField>
    <pivotField axis="axisCol" showAll="0" defaultSubtotal="0">
      <items count="5">
        <item x="3"/>
        <item x="0"/>
        <item x="2"/>
        <item x="1"/>
        <item x="4"/>
      </items>
    </pivotField>
    <pivotField axis="axisRow" showAll="0" defaultSubtotal="0">
      <items count="5">
        <item x="1"/>
        <item x="3"/>
        <item x="0"/>
        <item x="2"/>
        <item x="4"/>
      </items>
    </pivotField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ask Workload" fld="0" subtotal="count" baseField="0" baseItem="0"/>
  </dataFields>
  <formats count="10">
    <format dxfId="52">
      <pivotArea type="origin" dataOnly="0" labelOnly="1" outline="0" fieldPosition="0"/>
    </format>
    <format dxfId="51">
      <pivotArea type="topRight" dataOnly="0" labelOnly="1" outline="0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Col="1" outline="0" fieldPosition="0"/>
    </format>
    <format dxfId="48">
      <pivotArea type="origin" dataOnly="0" labelOnly="1" outline="0" fieldPosition="0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Col="1" outline="0" fieldPosition="0"/>
    </format>
    <format dxfId="44">
      <pivotArea dataOnly="0" grandRow="1" fieldPosition="0"/>
    </format>
    <format dxfId="43">
      <pivotArea type="all" dataOnly="0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B4FD5-F8FD-4580-8908-D906E4974AD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15:P21" firstHeaderRow="1" firstDataRow="1" firstDataCol="1"/>
  <pivotFields count="9"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st_Guests" fld="5" baseField="0" baseItem="0"/>
  </dataFields>
  <chartFormats count="6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nfig_Task_Category" displayName="tbl_Config_Task_Category" ref="B8:B14">
  <autoFilter ref="B8:B14" xr:uid="{00000000-0009-0000-0100-000001000000}"/>
  <tableColumns count="1">
    <tableColumn id="2" xr3:uid="{00000000-0010-0000-0000-000002000000}" name="Task_Category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nfig_Task_Status" displayName="tbl_Config_Task_Status" ref="C8:C12">
  <autoFilter ref="C8:C12" xr:uid="{00000000-0009-0000-0100-000002000000}"/>
  <tableColumns count="1">
    <tableColumn id="3" xr3:uid="{00000000-0010-0000-0100-000003000000}" name="Task_Statu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nfig_Owner" displayName="tbl_Config_Owner" ref="D8:D14">
  <autoFilter ref="D8:D14" xr:uid="{00000000-0009-0000-0100-000003000000}"/>
  <tableColumns count="1">
    <tableColumn id="4" xr3:uid="{00000000-0010-0000-0200-000004000000}" name="Owner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fig_Vendor_Category" displayName="tbl_Config_Vendor_Category" ref="E8:E15">
  <autoFilter ref="E8:E15" xr:uid="{00000000-0009-0000-0100-000004000000}"/>
  <tableColumns count="1">
    <tableColumn id="5" xr3:uid="{00000000-0010-0000-0300-000005000000}" name="Vendor_Category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onfig_Pay_Status" displayName="tbl_Config_Pay_Status" ref="F8:F11">
  <autoFilter ref="F8:F11" xr:uid="{00000000-0009-0000-0100-000005000000}"/>
  <tableColumns count="1">
    <tableColumn id="6" xr3:uid="{00000000-0010-0000-0400-000006000000}" name="Pay_Statu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onfig_Yes_No" displayName="tbl_Config_Yes_No" ref="G8:G10">
  <autoFilter ref="G8:G10" xr:uid="{00000000-0009-0000-0100-000006000000}"/>
  <tableColumns count="1">
    <tableColumn id="7" xr3:uid="{00000000-0010-0000-0500-000007000000}" name="Yes_No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onfig_Guest_Side" displayName="tbl_Config_Guest_Side" ref="H8:H11">
  <autoFilter ref="H8:H11" xr:uid="{00000000-0009-0000-0100-000007000000}"/>
  <tableColumns count="1">
    <tableColumn id="8" xr3:uid="{00000000-0010-0000-0600-000008000000}" name="Guest_Side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Config_Guest_Group" displayName="tbl_Config_Guest_Group" ref="I8:I13">
  <autoFilter ref="I8:I13" xr:uid="{00000000-0009-0000-0100-000008000000}"/>
  <tableColumns count="1">
    <tableColumn id="9" xr3:uid="{00000000-0010-0000-0700-000009000000}" name="Guest_Group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Config_RSVP_Status" displayName="tbl_Config_RSVP_Status" ref="J8:J12">
  <autoFilter ref="J8:J12" xr:uid="{00000000-0009-0000-0100-000009000000}"/>
  <tableColumns count="1">
    <tableColumn id="10" xr3:uid="{00000000-0010-0000-0800-00000A000000}" name="RSVP_Status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Config_Budget_Category" displayName="tbl_Config_Budget_Category" ref="K8:K13">
  <autoFilter ref="K8:K13" xr:uid="{00000000-0009-0000-0100-00000A000000}"/>
  <tableColumns count="1">
    <tableColumn id="11" xr3:uid="{00000000-0010-0000-0900-00000B000000}" name="Budget_Category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Config_Note_Scenario" displayName="tbl_Config_Note_Scenario" ref="L8:L13">
  <autoFilter ref="L8:L13" xr:uid="{00000000-0009-0000-0100-00000B000000}"/>
  <tableColumns count="1">
    <tableColumn id="12" xr3:uid="{00000000-0010-0000-0A00-00000C000000}" name="Note_Scenario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Config_Link_Module" displayName="tbl_Config_Link_Module" ref="M8:M11">
  <autoFilter ref="M8:M11" xr:uid="{00000000-0009-0000-0100-00000C000000}"/>
  <tableColumns count="1">
    <tableColumn id="13" xr3:uid="{00000000-0010-0000-0B00-00000D000000}" name="Link_Module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Config_Category_Map" displayName="tbl_Config_Category_Map" ref="B24:C31">
  <autoFilter ref="B24:C31" xr:uid="{00000000-0009-0000-0100-00000D000000}"/>
  <tableColumns count="2">
    <tableColumn id="2" xr3:uid="{00000000-0010-0000-0C00-000002000000}" name="Vendor_Category"/>
    <tableColumn id="3" xr3:uid="{00000000-0010-0000-0C00-000003000000}" name="Budget_Category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Timeline_Tasks" displayName="tbl_Timeline_Tasks" ref="B8:H108">
  <autoFilter ref="B8:H108" xr:uid="{00000000-0009-0000-0100-00000E000000}"/>
  <tableColumns count="7">
    <tableColumn id="2" xr3:uid="{00000000-0010-0000-0D00-000002000000}" name="Task_ID"/>
    <tableColumn id="3" xr3:uid="{00000000-0010-0000-0D00-000003000000}" name="Category"/>
    <tableColumn id="4" xr3:uid="{00000000-0010-0000-0D00-000004000000}" name="Task_Name"/>
    <tableColumn id="5" xr3:uid="{00000000-0010-0000-0D00-000005000000}" name="Due_Date" dataDxfId="79"/>
    <tableColumn id="6" xr3:uid="{00000000-0010-0000-0D00-000006000000}" name="Status"/>
    <tableColumn id="7" xr3:uid="{00000000-0010-0000-0D00-000007000000}" name="Owner"/>
    <tableColumn id="8" xr3:uid="{00000000-0010-0000-0D00-000008000000}" name="Notes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Vendor_Tracker" displayName="tbl_Vendor_Tracker" ref="B8:J108">
  <autoFilter ref="B8:J108" xr:uid="{00000000-0009-0000-0100-00000F000000}"/>
  <tableColumns count="9">
    <tableColumn id="2" xr3:uid="{00000000-0010-0000-0E00-000002000000}" name="Vendor_ID"/>
    <tableColumn id="3" xr3:uid="{00000000-0010-0000-0E00-000003000000}" name="Category"/>
    <tableColumn id="4" xr3:uid="{00000000-0010-0000-0E00-000004000000}" name="Vendor_Name"/>
    <tableColumn id="5" xr3:uid="{00000000-0010-0000-0E00-000005000000}" name="Contact"/>
    <tableColumn id="6" xr3:uid="{00000000-0010-0000-0E00-000006000000}" name="Contract_Amt" dataDxfId="78"/>
    <tableColumn id="7" xr3:uid="{00000000-0010-0000-0E00-000007000000}" name="Deposit_Paid" dataDxfId="77"/>
    <tableColumn id="8" xr3:uid="{00000000-0010-0000-0E00-000008000000}" name="Final_Balance" dataDxfId="76">
      <calculatedColumnFormula>IF(OR(tbl_Vendor_Tracker[[#This Row],[Contract_Amt]]="",tbl_Vendor_Tracker[[#This Row],[Deposit_Paid]]=""),"",tbl_Vendor_Tracker[[#This Row],[Contract_Amt]]-tbl_Vendor_Tracker[[#This Row],[Deposit_Paid]])</calculatedColumnFormula>
    </tableColumn>
    <tableColumn id="9" xr3:uid="{00000000-0010-0000-0E00-000009000000}" name="Pay_Status"/>
    <tableColumn id="10" xr3:uid="{00000000-0010-0000-0E00-00000A000000}" name="Contract_Saved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Guest_RSVP" displayName="tbl_Guest_RSVP" ref="B8:J108">
  <autoFilter ref="B8:J108" xr:uid="{00000000-0009-0000-0100-000010000000}"/>
  <tableColumns count="9">
    <tableColumn id="2" xr3:uid="{00000000-0010-0000-0F00-000002000000}" name="Guest_ID"/>
    <tableColumn id="3" xr3:uid="{00000000-0010-0000-0F00-000003000000}" name="Guest_Name"/>
    <tableColumn id="4" xr3:uid="{00000000-0010-0000-0F00-000004000000}" name="Side"/>
    <tableColumn id="5" xr3:uid="{00000000-0010-0000-0F00-000005000000}" name="Group"/>
    <tableColumn id="6" xr3:uid="{00000000-0010-0000-0F00-000006000000}" name="RSVP_Status"/>
    <tableColumn id="7" xr3:uid="{00000000-0010-0000-0F00-000007000000}" name="Est_Guests"/>
    <tableColumn id="8" xr3:uid="{00000000-0010-0000-0F00-000008000000}" name="Act_Guests"/>
    <tableColumn id="9" xr3:uid="{00000000-0010-0000-0F00-000009000000}" name="Table_No"/>
    <tableColumn id="10" xr3:uid="{00000000-0010-0000-0F00-00000A000000}" name="Dietary_Req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Budget_Manager" displayName="tbl_Budget_Manager" ref="B8:G108">
  <autoFilter ref="B8:G108" xr:uid="{00000000-0009-0000-0100-000011000000}"/>
  <tableColumns count="6">
    <tableColumn id="2" xr3:uid="{00000000-0010-0000-1000-000002000000}" name="Budget_ID"/>
    <tableColumn id="3" xr3:uid="{00000000-0010-0000-1000-000003000000}" name="Category"/>
    <tableColumn id="4" xr3:uid="{00000000-0010-0000-1000-000004000000}" name="Plan_Budget" dataDxfId="75"/>
    <tableColumn id="5" xr3:uid="{00000000-0010-0000-1000-000005000000}" name="Actual_Cost" dataDxfId="74">
      <calculatedColumnFormula array="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calculatedColumnFormula>
    </tableColumn>
    <tableColumn id="6" xr3:uid="{00000000-0010-0000-1000-000006000000}" name="Variance" dataDxfId="73">
      <calculatedColumnFormula>IF(OR(tbl_Budget_Manager[[#This Row],[Plan_Budget]]="",tbl_Budget_Manager[[#This Row],[Actual_Cost]]=""),"",tbl_Budget_Manager[[#This Row],[Plan_Budget]]-tbl_Budget_Manager[[#This Row],[Actual_Cost]])</calculatedColumnFormula>
    </tableColumn>
    <tableColumn id="7" xr3:uid="{00000000-0010-0000-1000-000007000000}" name="Status" dataDxfId="80">
      <calculatedColumnFormula>IF(tbl_Budget_Manager[[#This Row],[Variance]]="","",IF(tbl_Budget_Manager[[#This Row],[Variance]]&lt;0,"OVER BUDGET","ON TRACK"))</calculatedColumnFormula>
    </tableColumn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Decision_Notes" displayName="tbl_Decision_Notes" ref="B8:H108">
  <autoFilter ref="B8:H108" xr:uid="{00000000-0009-0000-0100-000012000000}"/>
  <tableColumns count="7">
    <tableColumn id="2" xr3:uid="{00000000-0010-0000-1100-000002000000}" name="Note_ID"/>
    <tableColumn id="3" xr3:uid="{00000000-0010-0000-1100-000003000000}" name="Date"/>
    <tableColumn id="4" xr3:uid="{00000000-0010-0000-1100-000004000000}" name="Scenario"/>
    <tableColumn id="5" xr3:uid="{00000000-0010-0000-1100-000005000000}" name="Content"/>
    <tableColumn id="6" xr3:uid="{00000000-0010-0000-1100-000006000000}" name="Decision"/>
    <tableColumn id="7" xr3:uid="{00000000-0010-0000-1100-000007000000}" name="Link_Module"/>
    <tableColumn id="8" xr3:uid="{00000000-0010-0000-1100-000008000000}" name="Link_I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Custom 3">
      <a:dk1>
        <a:srgbClr val="000000"/>
      </a:dk1>
      <a:lt1>
        <a:srgbClr val="FFFFFF"/>
      </a:lt1>
      <a:dk2>
        <a:srgbClr val="081D58"/>
      </a:dk2>
      <a:lt2>
        <a:srgbClr val="F2F2F2"/>
      </a:lt2>
      <a:accent1>
        <a:srgbClr val="081D58"/>
      </a:accent1>
      <a:accent2>
        <a:srgbClr val="2D4BFF"/>
      </a:accent2>
      <a:accent3>
        <a:srgbClr val="00B0F0"/>
      </a:accent3>
      <a:accent4>
        <a:srgbClr val="D9D9D9"/>
      </a:accent4>
      <a:accent5>
        <a:srgbClr val="757575"/>
      </a:accent5>
      <a:accent6>
        <a:srgbClr val="E5F4FA"/>
      </a:accent6>
      <a:hlink>
        <a:srgbClr val="00B0F0"/>
      </a:hlink>
      <a:folHlink>
        <a:srgbClr val="757575"/>
      </a:folHlink>
    </a:clrScheme>
    <a:fontScheme name="my brand">
      <a:majorFont>
        <a:latin typeface="Garamond"/>
        <a:ea typeface="宋体"/>
        <a:cs typeface=""/>
      </a:majorFont>
      <a:minorFont>
        <a:latin typeface="等线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4" sqref="B4"/>
    </sheetView>
  </sheetViews>
  <sheetFormatPr defaultRowHeight="13.9" x14ac:dyDescent="0.4"/>
  <cols>
    <col min="1" max="1" width="2.46484375" customWidth="1"/>
    <col min="2" max="2" width="22" style="33" customWidth="1"/>
    <col min="3" max="3" width="16" customWidth="1"/>
    <col min="4" max="4" width="52" customWidth="1"/>
    <col min="5" max="5" width="42" customWidth="1"/>
    <col min="6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.75" x14ac:dyDescent="0.4">
      <c r="A6" s="1"/>
      <c r="B6" s="28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 x14ac:dyDescent="0.4">
      <c r="A7" s="1"/>
      <c r="B7" s="1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4.1500000000000004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45" customHeight="1" x14ac:dyDescent="0.4">
      <c r="A9" s="1"/>
      <c r="B9" s="29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4.45" customHeight="1" x14ac:dyDescent="0.4">
      <c r="A10" s="1"/>
      <c r="B10" s="30" t="s">
        <v>4</v>
      </c>
      <c r="C10" s="5" t="s">
        <v>5</v>
      </c>
      <c r="D10" s="5" t="s">
        <v>6</v>
      </c>
      <c r="E10" s="5" t="s">
        <v>7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14.45" customHeight="1" x14ac:dyDescent="0.4">
      <c r="A11" s="1"/>
      <c r="B11" s="31" t="s">
        <v>8</v>
      </c>
      <c r="C11" s="6" t="s">
        <v>9</v>
      </c>
      <c r="D11" s="6" t="s">
        <v>10</v>
      </c>
      <c r="E11" s="6" t="s">
        <v>11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14.45" customHeight="1" x14ac:dyDescent="0.4">
      <c r="A12" s="1"/>
      <c r="B12" s="32" t="s">
        <v>12</v>
      </c>
      <c r="C12" s="7" t="s">
        <v>13</v>
      </c>
      <c r="D12" s="7" t="s">
        <v>14</v>
      </c>
      <c r="E12" s="7" t="s">
        <v>15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14.45" customHeight="1" x14ac:dyDescent="0.4">
      <c r="A13" s="1"/>
      <c r="B13" s="31" t="s">
        <v>16</v>
      </c>
      <c r="C13" s="6" t="s">
        <v>17</v>
      </c>
      <c r="D13" s="6" t="s">
        <v>18</v>
      </c>
      <c r="E13" s="6" t="s">
        <v>19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14.45" customHeight="1" x14ac:dyDescent="0.4">
      <c r="A14" s="1"/>
      <c r="B14" s="32" t="s">
        <v>20</v>
      </c>
      <c r="C14" s="7" t="s">
        <v>17</v>
      </c>
      <c r="D14" s="7" t="s">
        <v>21</v>
      </c>
      <c r="E14" s="7" t="s">
        <v>22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4.45" customHeight="1" x14ac:dyDescent="0.4">
      <c r="A15" s="1"/>
      <c r="B15" s="31" t="s">
        <v>23</v>
      </c>
      <c r="C15" s="6" t="s">
        <v>17</v>
      </c>
      <c r="D15" s="6" t="s">
        <v>24</v>
      </c>
      <c r="E15" s="6" t="s">
        <v>25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4.45" customHeight="1" x14ac:dyDescent="0.4">
      <c r="A16" s="1"/>
      <c r="B16" s="32" t="s">
        <v>26</v>
      </c>
      <c r="C16" s="7" t="s">
        <v>27</v>
      </c>
      <c r="D16" s="7" t="s">
        <v>28</v>
      </c>
      <c r="E16" s="7" t="s">
        <v>29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4.45" customHeight="1" x14ac:dyDescent="0.4">
      <c r="A17" s="1"/>
      <c r="B17" s="31" t="s">
        <v>30</v>
      </c>
      <c r="C17" s="6" t="s">
        <v>17</v>
      </c>
      <c r="D17" s="6" t="s">
        <v>31</v>
      </c>
      <c r="E17" s="6" t="s">
        <v>32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14.45" customHeight="1" x14ac:dyDescent="0.4">
      <c r="A18" s="1"/>
      <c r="B18" s="32" t="s">
        <v>33</v>
      </c>
      <c r="C18" s="7" t="s">
        <v>34</v>
      </c>
      <c r="D18" s="7" t="s">
        <v>35</v>
      </c>
      <c r="E18" s="7" t="s">
        <v>36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ht="14.4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4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45" customHeight="1" x14ac:dyDescent="0.4">
      <c r="A21" s="1"/>
      <c r="B21" s="1" t="s">
        <v>37</v>
      </c>
      <c r="C21" s="3" t="s">
        <v>38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45" customHeight="1" x14ac:dyDescent="0.4">
      <c r="A22" s="1"/>
      <c r="B22" s="1" t="s">
        <v>39</v>
      </c>
      <c r="C22" s="8">
        <v>46190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4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0.65" x14ac:dyDescent="0.4">
      <c r="A24" s="1"/>
      <c r="B24" s="29" t="s">
        <v>40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45" customHeight="1" x14ac:dyDescent="0.4">
      <c r="A25" s="1"/>
      <c r="B25" s="17" t="s">
        <v>41</v>
      </c>
      <c r="C25" s="18"/>
      <c r="D25" s="18"/>
      <c r="E25" s="18"/>
      <c r="F25" s="18"/>
      <c r="G25" s="18"/>
      <c r="H25" s="18"/>
      <c r="I25" s="1"/>
      <c r="J25" s="1"/>
      <c r="K25" s="1"/>
      <c r="L25" s="1"/>
      <c r="M25" s="1"/>
      <c r="N25" s="1"/>
    </row>
    <row r="26" spans="1:14" ht="14.45" customHeight="1" x14ac:dyDescent="0.4">
      <c r="A26" s="1"/>
      <c r="B26" s="17" t="s">
        <v>42</v>
      </c>
      <c r="C26" s="18"/>
      <c r="D26" s="18"/>
      <c r="E26" s="18"/>
      <c r="F26" s="18"/>
      <c r="G26" s="18"/>
      <c r="H26" s="18"/>
      <c r="I26" s="1"/>
      <c r="J26" s="1"/>
      <c r="K26" s="1"/>
      <c r="L26" s="1"/>
      <c r="M26" s="1"/>
      <c r="N26" s="1"/>
    </row>
    <row r="27" spans="1:14" ht="14.45" customHeight="1" x14ac:dyDescent="0.4">
      <c r="A27" s="1"/>
      <c r="B27" s="17" t="s">
        <v>43</v>
      </c>
      <c r="C27" s="18"/>
      <c r="D27" s="18"/>
      <c r="E27" s="18"/>
      <c r="F27" s="18"/>
      <c r="G27" s="18"/>
      <c r="H27" s="18"/>
      <c r="I27" s="1"/>
      <c r="J27" s="1"/>
      <c r="K27" s="1"/>
      <c r="L27" s="1"/>
      <c r="M27" s="1"/>
      <c r="N27" s="1"/>
    </row>
    <row r="28" spans="1:14" ht="14.45" customHeight="1" x14ac:dyDescent="0.4">
      <c r="A28" s="1"/>
      <c r="B28" s="17" t="s">
        <v>44</v>
      </c>
      <c r="C28" s="18"/>
      <c r="D28" s="18"/>
      <c r="E28" s="18"/>
      <c r="F28" s="18"/>
      <c r="G28" s="18"/>
      <c r="H28" s="18"/>
      <c r="I28" s="1"/>
      <c r="J28" s="1"/>
      <c r="K28" s="1"/>
      <c r="L28" s="1"/>
      <c r="M28" s="1"/>
      <c r="N28" s="1"/>
    </row>
    <row r="29" spans="1:14" ht="14.45" customHeight="1" x14ac:dyDescent="0.4">
      <c r="A29" s="1"/>
      <c r="B29" s="17" t="s">
        <v>45</v>
      </c>
      <c r="C29" s="18"/>
      <c r="D29" s="18"/>
      <c r="E29" s="18"/>
      <c r="F29" s="18"/>
      <c r="G29" s="18"/>
      <c r="H29" s="18"/>
      <c r="I29" s="1"/>
      <c r="J29" s="1"/>
      <c r="K29" s="1"/>
      <c r="L29" s="1"/>
      <c r="M29" s="1"/>
      <c r="N29" s="1"/>
    </row>
    <row r="30" spans="1:14" ht="14.4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.4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4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4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45" customHeight="1" x14ac:dyDescent="0.4">
      <c r="A34" s="1"/>
      <c r="B34" s="1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4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4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4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4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4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4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4.4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4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4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4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4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4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4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4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4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4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4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.4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.4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.4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4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4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4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4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4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4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4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4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4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4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4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4.4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4.4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4.4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4.4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4.4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4.4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4.4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4.4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4.4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4.4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4.4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4.4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4.4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4.4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4.4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4.4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4.4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4.4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4.4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4.4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4.4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4.4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4.4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4.4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4.4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4.4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4.4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4.4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4.4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4.4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4.4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4.4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4.4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4.4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4.4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4.4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4.4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4.4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4.4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4.4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4.4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4.4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4.4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6">
    <mergeCell ref="B26:H26"/>
    <mergeCell ref="B27:H27"/>
    <mergeCell ref="B2:N3"/>
    <mergeCell ref="B29:H29"/>
    <mergeCell ref="B25:H25"/>
    <mergeCell ref="B28:H28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H9" sqref="H9"/>
    </sheetView>
  </sheetViews>
  <sheetFormatPr defaultRowHeight="14.25" x14ac:dyDescent="0.4"/>
  <cols>
    <col min="1" max="1" width="2.46484375" customWidth="1"/>
    <col min="2" max="13" width="18" customWidth="1"/>
    <col min="14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6.25" customHeight="1" x14ac:dyDescent="0.4">
      <c r="A6" s="1"/>
      <c r="B6" s="28" t="s">
        <v>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4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45" customHeight="1" x14ac:dyDescent="0.4">
      <c r="A8" s="1"/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  <c r="M8" s="5" t="s">
        <v>58</v>
      </c>
      <c r="N8" s="1"/>
    </row>
    <row r="9" spans="1:14" ht="14.45" customHeight="1" x14ac:dyDescent="0.4">
      <c r="A9" s="1"/>
      <c r="B9" s="9" t="s">
        <v>59</v>
      </c>
      <c r="C9" s="9" t="s">
        <v>60</v>
      </c>
      <c r="D9" s="9" t="s">
        <v>61</v>
      </c>
      <c r="E9" s="9" t="s">
        <v>62</v>
      </c>
      <c r="F9" s="9" t="s">
        <v>63</v>
      </c>
      <c r="G9" s="9" t="s">
        <v>64</v>
      </c>
      <c r="H9" s="9" t="s">
        <v>65</v>
      </c>
      <c r="I9" s="9" t="s">
        <v>66</v>
      </c>
      <c r="J9" s="9" t="s">
        <v>67</v>
      </c>
      <c r="K9" s="9" t="s">
        <v>68</v>
      </c>
      <c r="L9" s="9" t="s">
        <v>69</v>
      </c>
      <c r="M9" s="9" t="s">
        <v>70</v>
      </c>
      <c r="N9" s="1"/>
    </row>
    <row r="10" spans="1:14" ht="14.45" customHeight="1" x14ac:dyDescent="0.4">
      <c r="A10" s="1"/>
      <c r="B10" s="3" t="s">
        <v>71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77</v>
      </c>
      <c r="I10" s="3" t="s">
        <v>78</v>
      </c>
      <c r="J10" s="3" t="s">
        <v>79</v>
      </c>
      <c r="K10" s="3" t="s">
        <v>80</v>
      </c>
      <c r="L10" s="3" t="s">
        <v>81</v>
      </c>
      <c r="M10" s="3" t="s">
        <v>82</v>
      </c>
      <c r="N10" s="1"/>
    </row>
    <row r="11" spans="1:14" ht="14.45" customHeight="1" x14ac:dyDescent="0.4">
      <c r="A11" s="1"/>
      <c r="B11" s="9" t="s">
        <v>83</v>
      </c>
      <c r="C11" s="9" t="s">
        <v>84</v>
      </c>
      <c r="D11" s="9" t="s">
        <v>85</v>
      </c>
      <c r="E11" s="9" t="s">
        <v>86</v>
      </c>
      <c r="F11" s="9" t="s">
        <v>87</v>
      </c>
      <c r="G11" s="1"/>
      <c r="H11" s="9" t="s">
        <v>88</v>
      </c>
      <c r="I11" s="9" t="s">
        <v>89</v>
      </c>
      <c r="J11" s="9" t="s">
        <v>90</v>
      </c>
      <c r="K11" s="9" t="s">
        <v>83</v>
      </c>
      <c r="L11" s="9" t="s">
        <v>91</v>
      </c>
      <c r="M11" s="9" t="s">
        <v>92</v>
      </c>
      <c r="N11" s="1"/>
    </row>
    <row r="12" spans="1:14" ht="14.45" customHeight="1" x14ac:dyDescent="0.4">
      <c r="A12" s="1"/>
      <c r="B12" s="3" t="s">
        <v>93</v>
      </c>
      <c r="C12" s="3" t="s">
        <v>94</v>
      </c>
      <c r="D12" s="3" t="s">
        <v>95</v>
      </c>
      <c r="E12" s="3" t="s">
        <v>96</v>
      </c>
      <c r="F12" s="1"/>
      <c r="G12" s="1"/>
      <c r="H12" s="1"/>
      <c r="I12" s="3" t="s">
        <v>97</v>
      </c>
      <c r="J12" s="3" t="s">
        <v>98</v>
      </c>
      <c r="K12" s="3" t="s">
        <v>93</v>
      </c>
      <c r="L12" s="3" t="s">
        <v>99</v>
      </c>
      <c r="M12" s="1"/>
      <c r="N12" s="1"/>
    </row>
    <row r="13" spans="1:14" ht="14.45" customHeight="1" x14ac:dyDescent="0.4">
      <c r="A13" s="1"/>
      <c r="B13" s="9" t="s">
        <v>100</v>
      </c>
      <c r="C13" s="1"/>
      <c r="D13" s="9" t="s">
        <v>101</v>
      </c>
      <c r="E13" s="9" t="s">
        <v>102</v>
      </c>
      <c r="F13" s="1"/>
      <c r="G13" s="1"/>
      <c r="H13" s="1"/>
      <c r="I13" s="9" t="s">
        <v>103</v>
      </c>
      <c r="J13" s="1"/>
      <c r="K13" s="9" t="s">
        <v>104</v>
      </c>
      <c r="L13" s="9" t="s">
        <v>105</v>
      </c>
      <c r="M13" s="1"/>
      <c r="N13" s="1"/>
    </row>
    <row r="14" spans="1:14" ht="14.45" customHeight="1" x14ac:dyDescent="0.4">
      <c r="A14" s="1"/>
      <c r="B14" s="3" t="s">
        <v>103</v>
      </c>
      <c r="C14" s="1"/>
      <c r="D14" s="3" t="s">
        <v>106</v>
      </c>
      <c r="E14" s="3" t="s">
        <v>107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4.45" customHeight="1" x14ac:dyDescent="0.4">
      <c r="A15" s="1"/>
      <c r="B15" s="1"/>
      <c r="C15" s="1"/>
      <c r="D15" s="1"/>
      <c r="E15" s="9" t="s">
        <v>103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4.4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4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4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4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4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4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4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4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45" customHeight="1" x14ac:dyDescent="0.4">
      <c r="A24" s="1"/>
      <c r="B24" s="10" t="s">
        <v>50</v>
      </c>
      <c r="C24" s="10" t="s">
        <v>56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45" customHeight="1" x14ac:dyDescent="0.4">
      <c r="A25" s="1"/>
      <c r="B25" s="9" t="s">
        <v>62</v>
      </c>
      <c r="C25" s="9" t="s">
        <v>80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45" customHeight="1" x14ac:dyDescent="0.4">
      <c r="A26" s="1"/>
      <c r="B26" s="3" t="s">
        <v>74</v>
      </c>
      <c r="C26" s="3" t="s">
        <v>80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45" customHeight="1" x14ac:dyDescent="0.4">
      <c r="A27" s="1"/>
      <c r="B27" s="9" t="s">
        <v>86</v>
      </c>
      <c r="C27" s="9" t="s">
        <v>80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45" customHeight="1" x14ac:dyDescent="0.4">
      <c r="A28" s="1"/>
      <c r="B28" s="3" t="s">
        <v>96</v>
      </c>
      <c r="C28" s="3" t="s">
        <v>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.45" customHeight="1" x14ac:dyDescent="0.4">
      <c r="A29" s="1"/>
      <c r="B29" s="9" t="s">
        <v>102</v>
      </c>
      <c r="C29" s="9" t="s">
        <v>68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.45" customHeight="1" x14ac:dyDescent="0.4">
      <c r="A30" s="1"/>
      <c r="B30" s="3" t="s">
        <v>107</v>
      </c>
      <c r="C30" s="3" t="s">
        <v>68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.45" customHeight="1" x14ac:dyDescent="0.4">
      <c r="A31" s="1"/>
      <c r="B31" s="9" t="s">
        <v>103</v>
      </c>
      <c r="C31" s="9" t="s">
        <v>104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4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4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4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4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4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4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4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4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4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4.4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4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4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4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4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4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4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4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4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4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4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.4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.4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.4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4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4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4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4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4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4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4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4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4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4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4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4.4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4.4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4.4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4.4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4.4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4.4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4.4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4.4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4.4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4.4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4.4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4.4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4.4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4.4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4.4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4.4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4.4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4.4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4.4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4.4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4.4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4.4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4.4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4.4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4.4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4.4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4.4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4.4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4.4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4.4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4.4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4.4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4.4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4.4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4.4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4.4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4.4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4.4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4.4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4.4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4.4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4.4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4.4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1">
    <mergeCell ref="B2:N3"/>
  </mergeCells>
  <pageMargins left="0.75" right="0.75" top="1" bottom="1" header="0.5" footer="0.5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51FF"/>
  </sheetPr>
  <dimension ref="A1:R140"/>
  <sheetViews>
    <sheetView showGridLines="0" tabSelected="1" zoomScaleNormal="100" workbookViewId="0">
      <pane xSplit="1" ySplit="4" topLeftCell="B5" activePane="bottomRight" state="frozen"/>
      <selection pane="topRight"/>
      <selection pane="bottomLeft"/>
      <selection pane="bottomRight" activeCell="O31" sqref="O31"/>
    </sheetView>
  </sheetViews>
  <sheetFormatPr defaultRowHeight="13.9" x14ac:dyDescent="0.4"/>
  <cols>
    <col min="1" max="1" width="2.46484375" customWidth="1"/>
    <col min="2" max="2" width="16.86328125" customWidth="1"/>
    <col min="3" max="3" width="19.06640625" customWidth="1"/>
    <col min="4" max="4" width="14.33203125" customWidth="1"/>
    <col min="5" max="5" width="12.06640625" customWidth="1"/>
    <col min="6" max="6" width="14" customWidth="1"/>
    <col min="7" max="7" width="15.53125" bestFit="1" customWidth="1"/>
    <col min="8" max="8" width="10.46484375" bestFit="1" customWidth="1"/>
    <col min="9" max="9" width="10.86328125" bestFit="1" customWidth="1"/>
    <col min="10" max="10" width="11.265625" bestFit="1" customWidth="1"/>
    <col min="11" max="11" width="20.59765625" bestFit="1" customWidth="1"/>
    <col min="12" max="12" width="7" bestFit="1" customWidth="1"/>
    <col min="13" max="13" width="11.796875" bestFit="1" customWidth="1"/>
    <col min="14" max="14" width="5.53125" customWidth="1"/>
    <col min="15" max="15" width="18.796875" bestFit="1" customWidth="1"/>
    <col min="16" max="16" width="18.53125" bestFit="1" customWidth="1"/>
    <col min="17" max="17" width="17.86328125" bestFit="1" customWidth="1"/>
    <col min="18" max="18" width="14" customWidth="1"/>
  </cols>
  <sheetData>
    <row r="1" spans="1:18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0.75" x14ac:dyDescent="0.4">
      <c r="A6" s="1"/>
      <c r="B6" s="28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45" customHeight="1" x14ac:dyDescent="0.4">
      <c r="A7" s="1"/>
      <c r="B7" s="3" t="s">
        <v>108</v>
      </c>
      <c r="C7" s="11" t="str">
        <f ca="1">TEXT(TODAY(),"yyyy-mm-dd")</f>
        <v>2026-06-17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.45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4.45" customHeight="1" x14ac:dyDescent="0.4">
      <c r="A9" s="1"/>
      <c r="B9" s="23" t="s">
        <v>109</v>
      </c>
      <c r="C9" s="22"/>
      <c r="D9" s="22"/>
      <c r="E9" s="23" t="s">
        <v>110</v>
      </c>
      <c r="F9" s="22"/>
      <c r="G9" s="22"/>
      <c r="H9" s="23" t="s">
        <v>111</v>
      </c>
      <c r="I9" s="22"/>
      <c r="J9" s="22"/>
      <c r="K9" s="23" t="s">
        <v>112</v>
      </c>
      <c r="L9" s="22"/>
      <c r="M9" s="22"/>
      <c r="N9" s="23" t="s">
        <v>113</v>
      </c>
      <c r="O9" s="22"/>
      <c r="P9" s="22"/>
      <c r="Q9" s="1"/>
      <c r="R9" s="1"/>
    </row>
    <row r="10" spans="1:18" ht="14.45" customHeight="1" x14ac:dyDescent="0.4">
      <c r="A10" s="1"/>
      <c r="B10" s="24">
        <f>IF(COUNTA(tbl_Timeline_Tasks[Task_ID])&gt;0,COUNTIF(tbl_Timeline_Tasks[Status],"Completed")/COUNTA(tbl_Timeline_Tasks[Task_ID]),0)</f>
        <v>0.25</v>
      </c>
      <c r="C10" s="22"/>
      <c r="D10" s="22"/>
      <c r="E10" s="25">
        <f>rng_TotalBudget</f>
        <v>450000</v>
      </c>
      <c r="F10" s="26"/>
      <c r="G10" s="26"/>
      <c r="H10" s="25">
        <f>rng_ActualCost</f>
        <v>260000</v>
      </c>
      <c r="I10" s="26"/>
      <c r="J10" s="26"/>
      <c r="K10" s="21">
        <f>rng_ConfirmedGuests</f>
        <v>2</v>
      </c>
      <c r="L10" s="22"/>
      <c r="M10" s="22"/>
      <c r="N10" s="21">
        <f ca="1">rng_OverdueTasks</f>
        <v>1</v>
      </c>
      <c r="O10" s="22"/>
      <c r="P10" s="22"/>
      <c r="Q10" s="1"/>
      <c r="R10" s="1"/>
    </row>
    <row r="11" spans="1:18" ht="14.45" customHeight="1" x14ac:dyDescent="0.4">
      <c r="A11" s="1"/>
      <c r="B11" s="22"/>
      <c r="C11" s="22"/>
      <c r="D11" s="22"/>
      <c r="E11" s="26"/>
      <c r="F11" s="26"/>
      <c r="G11" s="26"/>
      <c r="H11" s="26"/>
      <c r="I11" s="26"/>
      <c r="J11" s="26"/>
      <c r="K11" s="22"/>
      <c r="L11" s="22"/>
      <c r="M11" s="22"/>
      <c r="N11" s="22"/>
      <c r="O11" s="22"/>
      <c r="P11" s="22"/>
      <c r="Q11" s="1"/>
      <c r="R11" s="1"/>
    </row>
    <row r="12" spans="1:18" ht="14.45" customHeight="1" x14ac:dyDescent="0.4">
      <c r="A12" s="1"/>
      <c r="B12" s="22"/>
      <c r="C12" s="22"/>
      <c r="D12" s="22"/>
      <c r="E12" s="26"/>
      <c r="F12" s="26"/>
      <c r="G12" s="26"/>
      <c r="H12" s="26"/>
      <c r="I12" s="26"/>
      <c r="J12" s="26"/>
      <c r="K12" s="22"/>
      <c r="L12" s="22"/>
      <c r="M12" s="22"/>
      <c r="N12" s="22"/>
      <c r="O12" s="22"/>
      <c r="P12" s="22"/>
      <c r="Q12" s="1"/>
      <c r="R12" s="1"/>
    </row>
    <row r="13" spans="1:18" ht="14.4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4.4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0.65" x14ac:dyDescent="0.4">
      <c r="A15" s="1"/>
      <c r="B15" s="29" t="s">
        <v>114</v>
      </c>
      <c r="C15" s="1"/>
      <c r="D15" s="1"/>
      <c r="E15" s="1"/>
      <c r="F15" s="1"/>
      <c r="G15" s="37" t="s">
        <v>214</v>
      </c>
      <c r="H15" t="s">
        <v>219</v>
      </c>
      <c r="I15" t="s">
        <v>220</v>
      </c>
      <c r="N15" s="1"/>
      <c r="O15" s="37" t="s">
        <v>214</v>
      </c>
      <c r="P15" t="s">
        <v>217</v>
      </c>
      <c r="R15" s="1"/>
    </row>
    <row r="16" spans="1:18" s="33" customFormat="1" ht="18.399999999999999" thickBot="1" x14ac:dyDescent="0.45">
      <c r="A16" s="1"/>
      <c r="B16" s="30" t="s">
        <v>115</v>
      </c>
      <c r="C16" s="30" t="s">
        <v>116</v>
      </c>
      <c r="D16" s="30" t="s">
        <v>117</v>
      </c>
      <c r="E16" s="46"/>
      <c r="F16" s="1"/>
      <c r="G16" s="38" t="s">
        <v>83</v>
      </c>
      <c r="H16" s="39">
        <v>60000</v>
      </c>
      <c r="I16" s="39">
        <v>0</v>
      </c>
      <c r="N16" s="1"/>
      <c r="O16" s="38" t="s">
        <v>67</v>
      </c>
      <c r="P16" s="39">
        <v>2</v>
      </c>
      <c r="Q16"/>
      <c r="R16" s="1"/>
    </row>
    <row r="17" spans="1:18" s="33" customFormat="1" ht="15" x14ac:dyDescent="0.4">
      <c r="A17" s="1"/>
      <c r="B17" s="31" t="s">
        <v>118</v>
      </c>
      <c r="C17" s="40">
        <f>IF(COUNTA(tbl_Timeline_Tasks[Task_ID])&gt;0,COUNTIF(tbl_Timeline_Tasks[Status],"Completed")/COUNTA(tbl_Timeline_Tasks[Task_ID]),0)</f>
        <v>0.25</v>
      </c>
      <c r="D17" s="31" t="s">
        <v>16</v>
      </c>
      <c r="E17" s="31"/>
      <c r="F17" s="1"/>
      <c r="G17" s="38" t="s">
        <v>104</v>
      </c>
      <c r="H17" s="39">
        <v>35000</v>
      </c>
      <c r="I17" s="39">
        <v>0</v>
      </c>
      <c r="N17" s="1"/>
      <c r="O17" s="38" t="s">
        <v>79</v>
      </c>
      <c r="P17" s="39">
        <v>2</v>
      </c>
      <c r="Q17"/>
      <c r="R17" s="1"/>
    </row>
    <row r="18" spans="1:18" s="33" customFormat="1" ht="15" x14ac:dyDescent="0.4">
      <c r="A18" s="1"/>
      <c r="B18" s="32" t="s">
        <v>119</v>
      </c>
      <c r="C18" s="41">
        <f>IF(rng_TotalBudget=0,0,rng_ActualCost/rng_TotalBudget)</f>
        <v>0.57777777777777772</v>
      </c>
      <c r="D18" s="32" t="s">
        <v>120</v>
      </c>
      <c r="E18" s="32"/>
      <c r="F18" s="1"/>
      <c r="G18" s="38" t="s">
        <v>80</v>
      </c>
      <c r="H18" s="39">
        <v>110000</v>
      </c>
      <c r="I18" s="39">
        <v>52000</v>
      </c>
      <c r="N18" s="1"/>
      <c r="O18" s="38" t="s">
        <v>98</v>
      </c>
      <c r="P18" s="39">
        <v>1</v>
      </c>
      <c r="Q18"/>
      <c r="R18" s="1"/>
    </row>
    <row r="19" spans="1:18" s="33" customFormat="1" ht="15" x14ac:dyDescent="0.4">
      <c r="A19" s="1"/>
      <c r="B19" s="31" t="s">
        <v>121</v>
      </c>
      <c r="C19" s="42">
        <f>rng_DepositPaid</f>
        <v>65000</v>
      </c>
      <c r="D19" s="31" t="s">
        <v>20</v>
      </c>
      <c r="E19" s="31"/>
      <c r="F19" s="1"/>
      <c r="G19" s="38" t="s">
        <v>93</v>
      </c>
      <c r="H19" s="39">
        <v>25000</v>
      </c>
      <c r="I19" s="39">
        <v>0</v>
      </c>
      <c r="N19" s="1"/>
      <c r="O19" s="38" t="s">
        <v>90</v>
      </c>
      <c r="P19" s="39">
        <v>1</v>
      </c>
      <c r="Q19"/>
      <c r="R19" s="1"/>
    </row>
    <row r="20" spans="1:18" s="33" customFormat="1" ht="15" x14ac:dyDescent="0.4">
      <c r="A20" s="1"/>
      <c r="B20" s="32" t="s">
        <v>122</v>
      </c>
      <c r="C20" s="43">
        <f>rng_FinalBalance</f>
        <v>195000</v>
      </c>
      <c r="D20" s="32" t="s">
        <v>20</v>
      </c>
      <c r="E20" s="32"/>
      <c r="F20" s="1"/>
      <c r="G20" s="38" t="s">
        <v>68</v>
      </c>
      <c r="H20" s="39">
        <v>220000</v>
      </c>
      <c r="I20" s="39">
        <v>208000</v>
      </c>
      <c r="N20" s="1"/>
      <c r="O20" s="38" t="s">
        <v>215</v>
      </c>
      <c r="P20" s="39"/>
      <c r="Q20"/>
      <c r="R20" s="1"/>
    </row>
    <row r="21" spans="1:18" s="33" customFormat="1" ht="15" x14ac:dyDescent="0.4">
      <c r="A21" s="1"/>
      <c r="B21" s="31" t="s">
        <v>123</v>
      </c>
      <c r="C21" s="44">
        <f>rng_InvitedGuests</f>
        <v>6</v>
      </c>
      <c r="D21" s="31" t="s">
        <v>23</v>
      </c>
      <c r="E21" s="31"/>
      <c r="F21" s="1"/>
      <c r="G21" s="38" t="s">
        <v>215</v>
      </c>
      <c r="H21" s="39"/>
      <c r="I21" s="39">
        <v>0</v>
      </c>
      <c r="N21" s="1"/>
      <c r="O21" s="38" t="s">
        <v>216</v>
      </c>
      <c r="P21" s="39">
        <v>6</v>
      </c>
      <c r="Q21"/>
      <c r="R21" s="1"/>
    </row>
    <row r="22" spans="1:18" s="33" customFormat="1" ht="15" x14ac:dyDescent="0.4">
      <c r="A22" s="1"/>
      <c r="B22" s="32" t="s">
        <v>124</v>
      </c>
      <c r="C22" s="45">
        <f>rng_TentativeGuests</f>
        <v>1</v>
      </c>
      <c r="D22" s="32" t="s">
        <v>23</v>
      </c>
      <c r="E22" s="32"/>
      <c r="F22" s="1"/>
      <c r="G22" s="38" t="s">
        <v>216</v>
      </c>
      <c r="H22" s="39">
        <v>450000</v>
      </c>
      <c r="I22" s="39">
        <v>260000</v>
      </c>
      <c r="N22" s="1"/>
      <c r="O22"/>
      <c r="P22"/>
      <c r="Q22"/>
      <c r="R22" s="1"/>
    </row>
    <row r="23" spans="1:18" ht="15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R23" s="1"/>
    </row>
    <row r="24" spans="1:18" ht="20.65" x14ac:dyDescent="0.4">
      <c r="A24" s="1"/>
      <c r="B24" s="29" t="s">
        <v>125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R24" s="1"/>
    </row>
    <row r="25" spans="1:18" ht="18" x14ac:dyDescent="0.4">
      <c r="A25" s="1"/>
      <c r="B25" s="10" t="s">
        <v>126</v>
      </c>
      <c r="C25" s="10" t="s">
        <v>127</v>
      </c>
      <c r="D25" s="10" t="s">
        <v>128</v>
      </c>
      <c r="E25" s="10" t="s">
        <v>129</v>
      </c>
      <c r="F25" s="1"/>
      <c r="G25" s="1"/>
      <c r="H25" s="1"/>
      <c r="I25" s="1"/>
      <c r="J25" s="1"/>
      <c r="K25" s="1"/>
      <c r="L25" s="1"/>
      <c r="M25" s="1"/>
      <c r="N25" s="1"/>
      <c r="R25" s="1"/>
    </row>
    <row r="26" spans="1:18" ht="15" x14ac:dyDescent="0.4">
      <c r="A26" s="1"/>
      <c r="B26" s="3" t="str" cm="1">
        <f t="array" ref="B26:E28">_xlfn.LET(_xlpm.mask,(tbl_Timeline_Tasks[Task_ID]&lt;&gt;"")*(tbl_Timeline_Tasks[Status]&lt;&gt;"Completed"),_xlpm.open,_xlfn._xlws.FILTER(tbl_Timeline_Tasks[[Task_ID]:[Due_Date]],_xlpm.mask),_xlpm.dates,_xlfn._xlws.FILTER(tbl_Timeline_Tasks[Due_Date],_xlpm.mask),IFERROR(_xlfn.TAKE(_xlfn.SORTBY(_xlpm.open,_xlpm.dates,1),8),"No open tasks"))</f>
        <v>T003</v>
      </c>
      <c r="C26" s="1" t="str">
        <v>Guest Execution</v>
      </c>
      <c r="D26" s="1" t="str">
        <v>Send first RSVP message to family groups</v>
      </c>
      <c r="E26" s="36">
        <v>46187</v>
      </c>
      <c r="F26" s="1"/>
      <c r="G26" s="1"/>
      <c r="H26" s="1"/>
      <c r="I26" s="1"/>
      <c r="J26" s="1"/>
      <c r="K26" s="1"/>
      <c r="L26" s="1"/>
      <c r="M26" s="1"/>
      <c r="N26" s="1"/>
      <c r="R26" s="1"/>
    </row>
    <row r="27" spans="1:18" ht="15" x14ac:dyDescent="0.4">
      <c r="A27" s="1"/>
      <c r="B27" s="1" t="str">
        <v>T001</v>
      </c>
      <c r="C27" s="1" t="str">
        <v>Venue &amp; Ceremony</v>
      </c>
      <c r="D27" s="1" t="str">
        <v>Confirm banquet venue and ceremony flow</v>
      </c>
      <c r="E27" s="36">
        <v>46197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" x14ac:dyDescent="0.4">
      <c r="A28" s="1"/>
      <c r="B28" s="1" t="str">
        <v>T002</v>
      </c>
      <c r="C28" s="1" t="str">
        <v>Core Vendors</v>
      </c>
      <c r="D28" s="1" t="str">
        <v>Book makeup artist and trial session</v>
      </c>
      <c r="E28" s="36">
        <v>46204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" x14ac:dyDescent="0.4">
      <c r="A29" s="1"/>
      <c r="B29" s="1"/>
      <c r="C29" s="1"/>
      <c r="D29" s="1"/>
      <c r="E29" s="3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" x14ac:dyDescent="0.4">
      <c r="A30" s="1"/>
      <c r="B30" s="1"/>
      <c r="C30" s="1"/>
      <c r="D30" s="1"/>
      <c r="E30" s="3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4" x14ac:dyDescent="0.45">
      <c r="A31" s="1"/>
      <c r="B31" s="1"/>
      <c r="C31" s="1"/>
      <c r="D31" s="1"/>
      <c r="E31" s="1"/>
      <c r="F31" s="1"/>
      <c r="G31" s="47" t="s">
        <v>218</v>
      </c>
      <c r="H31" s="52"/>
      <c r="I31" s="47"/>
      <c r="J31" s="47"/>
      <c r="K31" s="47"/>
      <c r="L31" s="47"/>
      <c r="M31" s="47"/>
      <c r="N31" s="1"/>
      <c r="O31" s="1"/>
      <c r="P31" s="1"/>
      <c r="Q31" s="1"/>
      <c r="R31" s="1"/>
    </row>
    <row r="32" spans="1:18" ht="15.4" x14ac:dyDescent="0.45">
      <c r="A32" s="1"/>
      <c r="B32" s="1"/>
      <c r="C32" s="1"/>
      <c r="D32" s="1"/>
      <c r="E32" s="1"/>
      <c r="F32" s="1"/>
      <c r="G32" s="52"/>
      <c r="H32" s="47" t="s">
        <v>94</v>
      </c>
      <c r="I32" s="47" t="s">
        <v>72</v>
      </c>
      <c r="J32" s="47" t="s">
        <v>60</v>
      </c>
      <c r="K32" s="47" t="s">
        <v>84</v>
      </c>
      <c r="L32" s="47" t="s">
        <v>215</v>
      </c>
      <c r="M32" s="47" t="s">
        <v>216</v>
      </c>
      <c r="N32" s="1"/>
      <c r="O32" s="1"/>
      <c r="P32" s="1"/>
      <c r="Q32" s="1"/>
      <c r="R32" s="1"/>
    </row>
    <row r="33" spans="1:18" ht="15" x14ac:dyDescent="0.4">
      <c r="A33" s="1"/>
      <c r="B33" s="1"/>
      <c r="C33" s="1"/>
      <c r="D33" s="1"/>
      <c r="E33" s="1"/>
      <c r="F33" s="1"/>
      <c r="G33" s="48" t="s">
        <v>73</v>
      </c>
      <c r="H33" s="49"/>
      <c r="I33" s="49"/>
      <c r="J33" s="49"/>
      <c r="K33" s="49">
        <v>1</v>
      </c>
      <c r="L33" s="49"/>
      <c r="M33" s="49">
        <v>1</v>
      </c>
      <c r="N33" s="1"/>
      <c r="O33" s="1"/>
      <c r="P33" s="1"/>
      <c r="Q33" s="1"/>
      <c r="R33" s="1"/>
    </row>
    <row r="34" spans="1:18" ht="15" x14ac:dyDescent="0.4">
      <c r="A34" s="1"/>
      <c r="B34" s="1"/>
      <c r="C34" s="1"/>
      <c r="D34" s="1"/>
      <c r="E34" s="1"/>
      <c r="F34" s="1"/>
      <c r="G34" s="48" t="s">
        <v>61</v>
      </c>
      <c r="H34" s="49">
        <v>1</v>
      </c>
      <c r="I34" s="49"/>
      <c r="J34" s="49"/>
      <c r="K34" s="49"/>
      <c r="L34" s="49"/>
      <c r="M34" s="49">
        <v>1</v>
      </c>
      <c r="N34" s="1"/>
      <c r="O34" s="1"/>
      <c r="P34" s="1"/>
      <c r="Q34" s="1"/>
      <c r="R34" s="1"/>
    </row>
    <row r="35" spans="1:18" ht="15" x14ac:dyDescent="0.4">
      <c r="A35" s="1"/>
      <c r="B35" s="1"/>
      <c r="C35" s="1"/>
      <c r="D35" s="1"/>
      <c r="E35" s="1"/>
      <c r="F35" s="1"/>
      <c r="G35" s="48" t="s">
        <v>85</v>
      </c>
      <c r="H35" s="49"/>
      <c r="I35" s="49">
        <v>1</v>
      </c>
      <c r="J35" s="49"/>
      <c r="K35" s="49"/>
      <c r="L35" s="49"/>
      <c r="M35" s="49">
        <v>1</v>
      </c>
      <c r="N35" s="1"/>
      <c r="O35" s="1"/>
      <c r="P35" s="1"/>
      <c r="Q35" s="1"/>
      <c r="R35" s="1"/>
    </row>
    <row r="36" spans="1:18" ht="15" x14ac:dyDescent="0.4">
      <c r="A36" s="1"/>
      <c r="B36" s="1"/>
      <c r="C36" s="1"/>
      <c r="D36" s="1"/>
      <c r="E36" s="1"/>
      <c r="F36" s="1"/>
      <c r="G36" s="48" t="s">
        <v>106</v>
      </c>
      <c r="H36" s="49"/>
      <c r="I36" s="49"/>
      <c r="J36" s="49">
        <v>1</v>
      </c>
      <c r="K36" s="49"/>
      <c r="L36" s="49"/>
      <c r="M36" s="49">
        <v>1</v>
      </c>
      <c r="N36" s="1"/>
      <c r="O36" s="1"/>
      <c r="P36" s="1"/>
      <c r="Q36" s="1"/>
      <c r="R36" s="1"/>
    </row>
    <row r="37" spans="1:18" ht="15" x14ac:dyDescent="0.4">
      <c r="A37" s="1"/>
      <c r="B37" s="1"/>
      <c r="C37" s="1"/>
      <c r="D37" s="1"/>
      <c r="E37" s="1"/>
      <c r="F37" s="1"/>
      <c r="G37" s="48" t="s">
        <v>215</v>
      </c>
      <c r="H37" s="49"/>
      <c r="I37" s="49"/>
      <c r="J37" s="49"/>
      <c r="K37" s="49"/>
      <c r="L37" s="49"/>
      <c r="M37" s="49"/>
      <c r="N37" s="1"/>
      <c r="O37" s="1"/>
      <c r="P37" s="1"/>
      <c r="Q37" s="1"/>
      <c r="R37" s="1"/>
    </row>
    <row r="38" spans="1:18" ht="15.4" x14ac:dyDescent="0.45">
      <c r="A38" s="1"/>
      <c r="B38" s="1"/>
      <c r="C38" s="1"/>
      <c r="D38" s="1"/>
      <c r="E38" s="1"/>
      <c r="F38" s="1"/>
      <c r="G38" s="50" t="s">
        <v>216</v>
      </c>
      <c r="H38" s="51">
        <v>1</v>
      </c>
      <c r="I38" s="51">
        <v>1</v>
      </c>
      <c r="J38" s="51">
        <v>1</v>
      </c>
      <c r="K38" s="51">
        <v>1</v>
      </c>
      <c r="L38" s="51"/>
      <c r="M38" s="51">
        <v>4</v>
      </c>
      <c r="N38" s="1"/>
      <c r="O38" s="1"/>
      <c r="P38" s="1"/>
      <c r="Q38" s="1"/>
      <c r="R38" s="1"/>
    </row>
    <row r="39" spans="1:18" ht="15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" x14ac:dyDescent="0.4">
      <c r="A48" s="1"/>
      <c r="B48" s="1"/>
      <c r="C48" s="1"/>
      <c r="D48" s="1"/>
      <c r="E48" s="3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.45" customHeight="1" x14ac:dyDescent="0.4">
      <c r="A49" s="1"/>
      <c r="B49" s="1"/>
      <c r="C49" s="1"/>
      <c r="D49" s="1"/>
      <c r="E49" s="3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.45" customHeight="1" x14ac:dyDescent="0.4">
      <c r="A50" s="1"/>
      <c r="B50" s="1"/>
      <c r="C50" s="1"/>
      <c r="D50" s="1"/>
      <c r="E50" s="3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.45" customHeight="1" x14ac:dyDescent="0.4">
      <c r="A51" s="1"/>
      <c r="B51" s="1"/>
      <c r="C51" s="1"/>
      <c r="D51" s="1"/>
      <c r="E51" s="3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.45" customHeight="1" x14ac:dyDescent="0.4">
      <c r="A52" s="1"/>
      <c r="B52" s="1"/>
      <c r="C52" s="1"/>
      <c r="D52" s="1"/>
      <c r="E52" s="3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.45" customHeight="1" x14ac:dyDescent="0.4">
      <c r="A53" s="1"/>
      <c r="B53" s="1"/>
      <c r="C53" s="1"/>
      <c r="D53" s="1"/>
      <c r="E53" s="3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.45" customHeight="1" x14ac:dyDescent="0.4">
      <c r="A54" s="1"/>
      <c r="B54" s="1"/>
      <c r="C54" s="1"/>
      <c r="D54" s="1"/>
      <c r="E54" s="3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.45" customHeight="1" x14ac:dyDescent="0.4">
      <c r="A55" s="1"/>
      <c r="B55" s="1"/>
      <c r="C55" s="1"/>
      <c r="D55" s="1"/>
      <c r="E55" s="3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.4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.4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.4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.4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.4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.4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.4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.4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.4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.4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.4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.4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.4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.4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.4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4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4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.4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.4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.4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.4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.4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.4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4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4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.4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.4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.4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.4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.4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.4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.4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.4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.4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.4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.4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.4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.4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.4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.4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.4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.4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.4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.4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.4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.4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.4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.4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.4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.4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.4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.4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.4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.45" customHeight="1" x14ac:dyDescent="0.4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</sheetData>
  <mergeCells count="11">
    <mergeCell ref="B9:D9"/>
    <mergeCell ref="E9:G9"/>
    <mergeCell ref="B2:R3"/>
    <mergeCell ref="B10:D12"/>
    <mergeCell ref="H9:J9"/>
    <mergeCell ref="N9:P9"/>
    <mergeCell ref="E10:G12"/>
    <mergeCell ref="H10:J12"/>
    <mergeCell ref="N10:P12"/>
    <mergeCell ref="K9:M9"/>
    <mergeCell ref="K10:M12"/>
  </mergeCells>
  <pageMargins left="0.75" right="0.75" top="1" bottom="1" header="0.5" footer="0.5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1C2C"/>
  </sheetPr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"/>
    </sheetView>
  </sheetViews>
  <sheetFormatPr defaultRowHeight="14.25" x14ac:dyDescent="0.4"/>
  <cols>
    <col min="1" max="1" width="2.46484375" customWidth="1"/>
    <col min="2" max="2" width="12" customWidth="1"/>
    <col min="3" max="3" width="20" customWidth="1"/>
    <col min="4" max="4" width="42" customWidth="1"/>
    <col min="5" max="5" width="14" customWidth="1"/>
    <col min="6" max="6" width="20" customWidth="1"/>
    <col min="7" max="7" width="18" customWidth="1"/>
    <col min="8" max="8" width="44" customWidth="1"/>
    <col min="9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.75" x14ac:dyDescent="0.4">
      <c r="A6" s="1"/>
      <c r="B6" s="28" t="s">
        <v>130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4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45" customHeight="1" x14ac:dyDescent="0.4">
      <c r="A8" s="1"/>
      <c r="B8" s="5" t="s">
        <v>126</v>
      </c>
      <c r="C8" s="5" t="s">
        <v>127</v>
      </c>
      <c r="D8" s="5" t="s">
        <v>128</v>
      </c>
      <c r="E8" s="5" t="s">
        <v>129</v>
      </c>
      <c r="F8" s="5" t="s">
        <v>131</v>
      </c>
      <c r="G8" s="5" t="s">
        <v>49</v>
      </c>
      <c r="H8" s="5" t="s">
        <v>132</v>
      </c>
      <c r="I8" s="1"/>
      <c r="J8" s="1"/>
      <c r="K8" s="1"/>
      <c r="L8" s="1"/>
      <c r="M8" s="1"/>
      <c r="N8" s="1"/>
    </row>
    <row r="9" spans="1:14" ht="14.45" customHeight="1" x14ac:dyDescent="0.4">
      <c r="A9" s="1"/>
      <c r="B9" s="12" t="s">
        <v>133</v>
      </c>
      <c r="C9" s="12" t="s">
        <v>59</v>
      </c>
      <c r="D9" s="12" t="s">
        <v>134</v>
      </c>
      <c r="E9" s="27">
        <v>46197</v>
      </c>
      <c r="F9" s="12" t="s">
        <v>72</v>
      </c>
      <c r="G9" s="12" t="s">
        <v>85</v>
      </c>
      <c r="H9" s="12" t="s">
        <v>135</v>
      </c>
      <c r="I9" s="1"/>
      <c r="J9" s="1"/>
      <c r="K9" s="1"/>
      <c r="L9" s="1"/>
      <c r="M9" s="1"/>
      <c r="N9" s="1"/>
    </row>
    <row r="10" spans="1:14" ht="14.45" customHeight="1" x14ac:dyDescent="0.4">
      <c r="A10" s="1"/>
      <c r="B10" s="12" t="s">
        <v>136</v>
      </c>
      <c r="C10" s="12" t="s">
        <v>71</v>
      </c>
      <c r="D10" s="12" t="s">
        <v>137</v>
      </c>
      <c r="E10" s="27">
        <v>46204</v>
      </c>
      <c r="F10" s="12" t="s">
        <v>84</v>
      </c>
      <c r="G10" s="12" t="s">
        <v>73</v>
      </c>
      <c r="H10" s="12" t="s">
        <v>138</v>
      </c>
      <c r="I10" s="1"/>
      <c r="J10" s="1"/>
      <c r="K10" s="1"/>
      <c r="L10" s="1"/>
      <c r="M10" s="1"/>
      <c r="N10" s="1"/>
    </row>
    <row r="11" spans="1:14" ht="14.45" customHeight="1" x14ac:dyDescent="0.4">
      <c r="A11" s="1"/>
      <c r="B11" s="12" t="s">
        <v>139</v>
      </c>
      <c r="C11" s="12" t="s">
        <v>100</v>
      </c>
      <c r="D11" s="12" t="s">
        <v>140</v>
      </c>
      <c r="E11" s="27">
        <v>46187</v>
      </c>
      <c r="F11" s="12" t="s">
        <v>60</v>
      </c>
      <c r="G11" s="12" t="s">
        <v>106</v>
      </c>
      <c r="H11" s="12" t="s">
        <v>141</v>
      </c>
      <c r="I11" s="1"/>
      <c r="J11" s="1"/>
      <c r="K11" s="1"/>
      <c r="L11" s="1"/>
      <c r="M11" s="1"/>
      <c r="N11" s="1"/>
    </row>
    <row r="12" spans="1:14" ht="14.45" customHeight="1" x14ac:dyDescent="0.4">
      <c r="A12" s="1"/>
      <c r="B12" s="12" t="s">
        <v>142</v>
      </c>
      <c r="C12" s="12" t="s">
        <v>93</v>
      </c>
      <c r="D12" s="12" t="s">
        <v>143</v>
      </c>
      <c r="E12" s="27">
        <v>46211</v>
      </c>
      <c r="F12" s="12" t="s">
        <v>94</v>
      </c>
      <c r="G12" s="12" t="s">
        <v>61</v>
      </c>
      <c r="H12" s="12" t="s">
        <v>144</v>
      </c>
      <c r="I12" s="1"/>
      <c r="J12" s="1"/>
      <c r="K12" s="1"/>
      <c r="L12" s="1"/>
      <c r="M12" s="1"/>
      <c r="N12" s="1"/>
    </row>
    <row r="13" spans="1:14" ht="14.45" customHeight="1" x14ac:dyDescent="0.4">
      <c r="A13" s="1"/>
      <c r="B13" s="12"/>
      <c r="C13" s="12"/>
      <c r="D13" s="12"/>
      <c r="E13" s="27"/>
      <c r="F13" s="12"/>
      <c r="G13" s="12"/>
      <c r="H13" s="12"/>
      <c r="I13" s="1"/>
      <c r="J13" s="1"/>
      <c r="K13" s="1"/>
      <c r="L13" s="1"/>
      <c r="M13" s="1"/>
      <c r="N13" s="1"/>
    </row>
    <row r="14" spans="1:14" ht="14.45" customHeight="1" x14ac:dyDescent="0.4">
      <c r="A14" s="1"/>
      <c r="B14" s="12"/>
      <c r="C14" s="12"/>
      <c r="D14" s="12"/>
      <c r="E14" s="27"/>
      <c r="F14" s="12"/>
      <c r="G14" s="12"/>
      <c r="H14" s="12"/>
      <c r="I14" s="1"/>
      <c r="J14" s="1"/>
      <c r="K14" s="1"/>
      <c r="L14" s="1"/>
      <c r="M14" s="1"/>
      <c r="N14" s="1"/>
    </row>
    <row r="15" spans="1:14" ht="14.45" customHeight="1" x14ac:dyDescent="0.4">
      <c r="A15" s="1"/>
      <c r="B15" s="12"/>
      <c r="C15" s="12"/>
      <c r="D15" s="12"/>
      <c r="E15" s="27"/>
      <c r="F15" s="12"/>
      <c r="G15" s="12"/>
      <c r="H15" s="12"/>
      <c r="I15" s="1"/>
      <c r="J15" s="1"/>
      <c r="K15" s="1"/>
      <c r="L15" s="1"/>
      <c r="M15" s="1"/>
      <c r="N15" s="1"/>
    </row>
    <row r="16" spans="1:14" ht="14.45" customHeight="1" x14ac:dyDescent="0.4">
      <c r="A16" s="1"/>
      <c r="B16" s="12"/>
      <c r="C16" s="12"/>
      <c r="D16" s="12"/>
      <c r="E16" s="27"/>
      <c r="F16" s="12"/>
      <c r="G16" s="12"/>
      <c r="H16" s="12"/>
      <c r="I16" s="1"/>
      <c r="J16" s="1"/>
      <c r="K16" s="1"/>
      <c r="L16" s="1"/>
      <c r="M16" s="1"/>
      <c r="N16" s="1"/>
    </row>
    <row r="17" spans="1:14" ht="14.45" customHeight="1" x14ac:dyDescent="0.4">
      <c r="A17" s="1"/>
      <c r="B17" s="12"/>
      <c r="C17" s="12"/>
      <c r="D17" s="12"/>
      <c r="E17" s="27"/>
      <c r="F17" s="12"/>
      <c r="G17" s="12"/>
      <c r="H17" s="12"/>
      <c r="I17" s="1"/>
      <c r="J17" s="1"/>
      <c r="K17" s="1"/>
      <c r="L17" s="1"/>
      <c r="M17" s="1"/>
      <c r="N17" s="1"/>
    </row>
    <row r="18" spans="1:14" ht="14.45" customHeight="1" x14ac:dyDescent="0.4">
      <c r="A18" s="1"/>
      <c r="B18" s="12"/>
      <c r="C18" s="12"/>
      <c r="D18" s="12"/>
      <c r="E18" s="27"/>
      <c r="F18" s="12"/>
      <c r="G18" s="12"/>
      <c r="H18" s="12"/>
      <c r="I18" s="1"/>
      <c r="J18" s="1"/>
      <c r="K18" s="1"/>
      <c r="L18" s="1"/>
      <c r="M18" s="1"/>
      <c r="N18" s="1"/>
    </row>
    <row r="19" spans="1:14" ht="14.45" customHeight="1" x14ac:dyDescent="0.4">
      <c r="A19" s="1"/>
      <c r="B19" s="12"/>
      <c r="C19" s="12"/>
      <c r="D19" s="12"/>
      <c r="E19" s="27"/>
      <c r="F19" s="12"/>
      <c r="G19" s="12"/>
      <c r="H19" s="12"/>
      <c r="I19" s="1"/>
      <c r="J19" s="1"/>
      <c r="K19" s="1"/>
      <c r="L19" s="1"/>
      <c r="M19" s="1"/>
      <c r="N19" s="1"/>
    </row>
    <row r="20" spans="1:14" ht="14.45" customHeight="1" x14ac:dyDescent="0.4">
      <c r="A20" s="1"/>
      <c r="B20" s="12"/>
      <c r="C20" s="12"/>
      <c r="D20" s="12"/>
      <c r="E20" s="27"/>
      <c r="F20" s="12"/>
      <c r="G20" s="12"/>
      <c r="H20" s="12"/>
      <c r="I20" s="1"/>
      <c r="J20" s="1"/>
      <c r="K20" s="1"/>
      <c r="L20" s="1"/>
      <c r="M20" s="1"/>
      <c r="N20" s="1"/>
    </row>
    <row r="21" spans="1:14" ht="14.45" customHeight="1" x14ac:dyDescent="0.4">
      <c r="A21" s="1"/>
      <c r="B21" s="12"/>
      <c r="C21" s="12"/>
      <c r="D21" s="12"/>
      <c r="E21" s="27"/>
      <c r="F21" s="12"/>
      <c r="G21" s="12"/>
      <c r="H21" s="12"/>
      <c r="I21" s="1"/>
      <c r="J21" s="1"/>
      <c r="K21" s="1"/>
      <c r="L21" s="1"/>
      <c r="M21" s="1"/>
      <c r="N21" s="1"/>
    </row>
    <row r="22" spans="1:14" ht="14.45" customHeight="1" x14ac:dyDescent="0.4">
      <c r="A22" s="1"/>
      <c r="B22" s="12"/>
      <c r="C22" s="12"/>
      <c r="D22" s="12"/>
      <c r="E22" s="27"/>
      <c r="F22" s="12"/>
      <c r="G22" s="12"/>
      <c r="H22" s="12"/>
      <c r="I22" s="1"/>
      <c r="J22" s="1"/>
      <c r="K22" s="1"/>
      <c r="L22" s="1"/>
      <c r="M22" s="1"/>
      <c r="N22" s="1"/>
    </row>
    <row r="23" spans="1:14" ht="14.45" customHeight="1" x14ac:dyDescent="0.4">
      <c r="A23" s="1"/>
      <c r="B23" s="12"/>
      <c r="C23" s="12"/>
      <c r="D23" s="12"/>
      <c r="E23" s="27"/>
      <c r="F23" s="12"/>
      <c r="G23" s="12"/>
      <c r="H23" s="12"/>
      <c r="I23" s="1"/>
      <c r="J23" s="1"/>
      <c r="K23" s="1"/>
      <c r="L23" s="1"/>
      <c r="M23" s="1"/>
      <c r="N23" s="1"/>
    </row>
    <row r="24" spans="1:14" ht="14.45" customHeight="1" x14ac:dyDescent="0.4">
      <c r="A24" s="1"/>
      <c r="B24" s="12"/>
      <c r="C24" s="12"/>
      <c r="D24" s="12"/>
      <c r="E24" s="27"/>
      <c r="F24" s="12"/>
      <c r="G24" s="12"/>
      <c r="H24" s="12"/>
      <c r="I24" s="1"/>
      <c r="J24" s="1"/>
      <c r="K24" s="1"/>
      <c r="L24" s="1"/>
      <c r="M24" s="1"/>
      <c r="N24" s="1"/>
    </row>
    <row r="25" spans="1:14" ht="14.45" customHeight="1" x14ac:dyDescent="0.4">
      <c r="A25" s="1"/>
      <c r="B25" s="12"/>
      <c r="C25" s="12"/>
      <c r="D25" s="12"/>
      <c r="E25" s="27"/>
      <c r="F25" s="12"/>
      <c r="G25" s="12"/>
      <c r="H25" s="12"/>
      <c r="I25" s="1"/>
      <c r="J25" s="1"/>
      <c r="K25" s="1"/>
      <c r="L25" s="1"/>
      <c r="M25" s="1"/>
      <c r="N25" s="1"/>
    </row>
    <row r="26" spans="1:14" ht="14.45" customHeight="1" x14ac:dyDescent="0.4">
      <c r="A26" s="1"/>
      <c r="B26" s="12"/>
      <c r="C26" s="12"/>
      <c r="D26" s="12"/>
      <c r="E26" s="27"/>
      <c r="F26" s="12"/>
      <c r="G26" s="12"/>
      <c r="H26" s="12"/>
      <c r="I26" s="1"/>
      <c r="J26" s="1"/>
      <c r="K26" s="1"/>
      <c r="L26" s="1"/>
      <c r="M26" s="1"/>
      <c r="N26" s="1"/>
    </row>
    <row r="27" spans="1:14" ht="14.45" customHeight="1" x14ac:dyDescent="0.4">
      <c r="A27" s="1"/>
      <c r="B27" s="12"/>
      <c r="C27" s="12"/>
      <c r="D27" s="12"/>
      <c r="E27" s="27"/>
      <c r="F27" s="12"/>
      <c r="G27" s="12"/>
      <c r="H27" s="12"/>
      <c r="I27" s="1"/>
      <c r="J27" s="1"/>
      <c r="K27" s="1"/>
      <c r="L27" s="1"/>
      <c r="M27" s="1"/>
      <c r="N27" s="1"/>
    </row>
    <row r="28" spans="1:14" ht="14.45" customHeight="1" x14ac:dyDescent="0.4">
      <c r="A28" s="1"/>
      <c r="B28" s="12"/>
      <c r="C28" s="12"/>
      <c r="D28" s="12"/>
      <c r="E28" s="27"/>
      <c r="F28" s="12"/>
      <c r="G28" s="12"/>
      <c r="H28" s="12"/>
      <c r="I28" s="1"/>
      <c r="J28" s="1"/>
      <c r="K28" s="1"/>
      <c r="L28" s="1"/>
      <c r="M28" s="1"/>
      <c r="N28" s="1"/>
    </row>
    <row r="29" spans="1:14" ht="14.45" customHeight="1" x14ac:dyDescent="0.4">
      <c r="A29" s="1"/>
      <c r="B29" s="12"/>
      <c r="C29" s="12"/>
      <c r="D29" s="12"/>
      <c r="E29" s="27"/>
      <c r="F29" s="12"/>
      <c r="G29" s="12"/>
      <c r="H29" s="12"/>
      <c r="I29" s="1"/>
      <c r="J29" s="1"/>
      <c r="K29" s="1"/>
      <c r="L29" s="1"/>
      <c r="M29" s="1"/>
      <c r="N29" s="1"/>
    </row>
    <row r="30" spans="1:14" ht="14.45" customHeight="1" x14ac:dyDescent="0.4">
      <c r="A30" s="1"/>
      <c r="B30" s="12"/>
      <c r="C30" s="12"/>
      <c r="D30" s="12"/>
      <c r="E30" s="27"/>
      <c r="F30" s="12"/>
      <c r="G30" s="12"/>
      <c r="H30" s="12"/>
      <c r="I30" s="1"/>
      <c r="J30" s="1"/>
      <c r="K30" s="1"/>
      <c r="L30" s="1"/>
      <c r="M30" s="1"/>
      <c r="N30" s="1"/>
    </row>
    <row r="31" spans="1:14" ht="14.45" customHeight="1" x14ac:dyDescent="0.4">
      <c r="A31" s="1"/>
      <c r="B31" s="12"/>
      <c r="C31" s="12"/>
      <c r="D31" s="12"/>
      <c r="E31" s="27"/>
      <c r="F31" s="12"/>
      <c r="G31" s="12"/>
      <c r="H31" s="12"/>
      <c r="I31" s="1"/>
      <c r="J31" s="1"/>
      <c r="K31" s="1"/>
      <c r="L31" s="1"/>
      <c r="M31" s="1"/>
      <c r="N31" s="1"/>
    </row>
    <row r="32" spans="1:14" ht="14.45" customHeight="1" x14ac:dyDescent="0.4">
      <c r="A32" s="1"/>
      <c r="B32" s="12"/>
      <c r="C32" s="12"/>
      <c r="D32" s="12"/>
      <c r="E32" s="27"/>
      <c r="F32" s="12"/>
      <c r="G32" s="12"/>
      <c r="H32" s="12"/>
      <c r="I32" s="1"/>
      <c r="J32" s="1"/>
      <c r="K32" s="1"/>
      <c r="L32" s="1"/>
      <c r="M32" s="1"/>
      <c r="N32" s="1"/>
    </row>
    <row r="33" spans="1:14" ht="14.45" customHeight="1" x14ac:dyDescent="0.4">
      <c r="A33" s="1"/>
      <c r="B33" s="12"/>
      <c r="C33" s="12"/>
      <c r="D33" s="12"/>
      <c r="E33" s="27"/>
      <c r="F33" s="12"/>
      <c r="G33" s="12"/>
      <c r="H33" s="12"/>
      <c r="I33" s="1"/>
      <c r="J33" s="1"/>
      <c r="K33" s="1"/>
      <c r="L33" s="1"/>
      <c r="M33" s="1"/>
      <c r="N33" s="1"/>
    </row>
    <row r="34" spans="1:14" ht="14.45" customHeight="1" x14ac:dyDescent="0.4">
      <c r="A34" s="1"/>
      <c r="B34" s="12"/>
      <c r="C34" s="12"/>
      <c r="D34" s="12"/>
      <c r="E34" s="27"/>
      <c r="F34" s="12"/>
      <c r="G34" s="12"/>
      <c r="H34" s="12"/>
      <c r="I34" s="1"/>
      <c r="J34" s="1"/>
      <c r="K34" s="1"/>
      <c r="L34" s="1"/>
      <c r="M34" s="1"/>
      <c r="N34" s="1"/>
    </row>
    <row r="35" spans="1:14" ht="14.45" customHeight="1" x14ac:dyDescent="0.4">
      <c r="A35" s="1"/>
      <c r="B35" s="12"/>
      <c r="C35" s="12"/>
      <c r="D35" s="12"/>
      <c r="E35" s="27"/>
      <c r="F35" s="12"/>
      <c r="G35" s="12"/>
      <c r="H35" s="12"/>
      <c r="I35" s="1"/>
      <c r="J35" s="1"/>
      <c r="K35" s="1"/>
      <c r="L35" s="1"/>
      <c r="M35" s="1"/>
      <c r="N35" s="1"/>
    </row>
    <row r="36" spans="1:14" ht="14.45" customHeight="1" x14ac:dyDescent="0.4">
      <c r="A36" s="1"/>
      <c r="B36" s="12"/>
      <c r="C36" s="12"/>
      <c r="D36" s="12"/>
      <c r="E36" s="27"/>
      <c r="F36" s="12"/>
      <c r="G36" s="12"/>
      <c r="H36" s="12"/>
      <c r="I36" s="1"/>
      <c r="J36" s="1"/>
      <c r="K36" s="1"/>
      <c r="L36" s="1"/>
      <c r="M36" s="1"/>
      <c r="N36" s="1"/>
    </row>
    <row r="37" spans="1:14" ht="14.45" customHeight="1" x14ac:dyDescent="0.4">
      <c r="A37" s="1"/>
      <c r="B37" s="12"/>
      <c r="C37" s="12"/>
      <c r="D37" s="12"/>
      <c r="E37" s="27"/>
      <c r="F37" s="12"/>
      <c r="G37" s="12"/>
      <c r="H37" s="12"/>
      <c r="I37" s="1"/>
      <c r="J37" s="1"/>
      <c r="K37" s="1"/>
      <c r="L37" s="1"/>
      <c r="M37" s="1"/>
      <c r="N37" s="1"/>
    </row>
    <row r="38" spans="1:14" ht="14.45" customHeight="1" x14ac:dyDescent="0.4">
      <c r="A38" s="1"/>
      <c r="B38" s="12"/>
      <c r="C38" s="12"/>
      <c r="D38" s="12"/>
      <c r="E38" s="27"/>
      <c r="F38" s="12"/>
      <c r="G38" s="12"/>
      <c r="H38" s="12"/>
      <c r="I38" s="1"/>
      <c r="J38" s="1"/>
      <c r="K38" s="1"/>
      <c r="L38" s="1"/>
      <c r="M38" s="1"/>
      <c r="N38" s="1"/>
    </row>
    <row r="39" spans="1:14" ht="14.45" customHeight="1" x14ac:dyDescent="0.4">
      <c r="A39" s="1"/>
      <c r="B39" s="12"/>
      <c r="C39" s="12"/>
      <c r="D39" s="12"/>
      <c r="E39" s="27"/>
      <c r="F39" s="12"/>
      <c r="G39" s="12"/>
      <c r="H39" s="12"/>
      <c r="I39" s="1"/>
      <c r="J39" s="1"/>
      <c r="K39" s="1"/>
      <c r="L39" s="1"/>
      <c r="M39" s="1"/>
      <c r="N39" s="1"/>
    </row>
    <row r="40" spans="1:14" ht="14.45" customHeight="1" x14ac:dyDescent="0.4">
      <c r="A40" s="1"/>
      <c r="B40" s="12"/>
      <c r="C40" s="12"/>
      <c r="D40" s="12"/>
      <c r="E40" s="27"/>
      <c r="F40" s="12"/>
      <c r="G40" s="12"/>
      <c r="H40" s="12"/>
      <c r="I40" s="1"/>
      <c r="J40" s="1"/>
      <c r="K40" s="1"/>
      <c r="L40" s="1"/>
      <c r="M40" s="1"/>
      <c r="N40" s="1"/>
    </row>
    <row r="41" spans="1:14" ht="14.45" customHeight="1" x14ac:dyDescent="0.4">
      <c r="A41" s="1"/>
      <c r="B41" s="12"/>
      <c r="C41" s="12"/>
      <c r="D41" s="12"/>
      <c r="E41" s="27"/>
      <c r="F41" s="12"/>
      <c r="G41" s="12"/>
      <c r="H41" s="12"/>
      <c r="I41" s="1"/>
      <c r="J41" s="1"/>
      <c r="K41" s="1"/>
      <c r="L41" s="1"/>
      <c r="M41" s="1"/>
      <c r="N41" s="1"/>
    </row>
    <row r="42" spans="1:14" ht="14.45" customHeight="1" x14ac:dyDescent="0.4">
      <c r="A42" s="1"/>
      <c r="B42" s="12"/>
      <c r="C42" s="12"/>
      <c r="D42" s="12"/>
      <c r="E42" s="27"/>
      <c r="F42" s="12"/>
      <c r="G42" s="12"/>
      <c r="H42" s="12"/>
      <c r="I42" s="1"/>
      <c r="J42" s="1"/>
      <c r="K42" s="1"/>
      <c r="L42" s="1"/>
      <c r="M42" s="1"/>
      <c r="N42" s="1"/>
    </row>
    <row r="43" spans="1:14" ht="14.45" customHeight="1" x14ac:dyDescent="0.4">
      <c r="A43" s="1"/>
      <c r="B43" s="12"/>
      <c r="C43" s="12"/>
      <c r="D43" s="12"/>
      <c r="E43" s="27"/>
      <c r="F43" s="12"/>
      <c r="G43" s="12"/>
      <c r="H43" s="12"/>
      <c r="I43" s="1"/>
      <c r="J43" s="1"/>
      <c r="K43" s="1"/>
      <c r="L43" s="1"/>
      <c r="M43" s="1"/>
      <c r="N43" s="1"/>
    </row>
    <row r="44" spans="1:14" ht="14.45" customHeight="1" x14ac:dyDescent="0.4">
      <c r="A44" s="1"/>
      <c r="B44" s="12"/>
      <c r="C44" s="12"/>
      <c r="D44" s="12"/>
      <c r="E44" s="27"/>
      <c r="F44" s="12"/>
      <c r="G44" s="12"/>
      <c r="H44" s="12"/>
      <c r="I44" s="1"/>
      <c r="J44" s="1"/>
      <c r="K44" s="1"/>
      <c r="L44" s="1"/>
      <c r="M44" s="1"/>
      <c r="N44" s="1"/>
    </row>
    <row r="45" spans="1:14" ht="14.45" customHeight="1" x14ac:dyDescent="0.4">
      <c r="A45" s="1"/>
      <c r="B45" s="12"/>
      <c r="C45" s="12"/>
      <c r="D45" s="12"/>
      <c r="E45" s="27"/>
      <c r="F45" s="12"/>
      <c r="G45" s="12"/>
      <c r="H45" s="12"/>
      <c r="I45" s="1"/>
      <c r="J45" s="1"/>
      <c r="K45" s="1"/>
      <c r="L45" s="1"/>
      <c r="M45" s="1"/>
      <c r="N45" s="1"/>
    </row>
    <row r="46" spans="1:14" ht="14.45" customHeight="1" x14ac:dyDescent="0.4">
      <c r="A46" s="1"/>
      <c r="B46" s="12"/>
      <c r="C46" s="12"/>
      <c r="D46" s="12"/>
      <c r="E46" s="27"/>
      <c r="F46" s="12"/>
      <c r="G46" s="12"/>
      <c r="H46" s="12"/>
      <c r="I46" s="1"/>
      <c r="J46" s="1"/>
      <c r="K46" s="1"/>
      <c r="L46" s="1"/>
      <c r="M46" s="1"/>
      <c r="N46" s="1"/>
    </row>
    <row r="47" spans="1:14" ht="14.45" customHeight="1" x14ac:dyDescent="0.4">
      <c r="A47" s="1"/>
      <c r="B47" s="12"/>
      <c r="C47" s="12"/>
      <c r="D47" s="12"/>
      <c r="E47" s="27"/>
      <c r="F47" s="12"/>
      <c r="G47" s="12"/>
      <c r="H47" s="12"/>
      <c r="I47" s="1"/>
      <c r="J47" s="1"/>
      <c r="K47" s="1"/>
      <c r="L47" s="1"/>
      <c r="M47" s="1"/>
      <c r="N47" s="1"/>
    </row>
    <row r="48" spans="1:14" ht="14.45" customHeight="1" x14ac:dyDescent="0.4">
      <c r="A48" s="1"/>
      <c r="B48" s="12"/>
      <c r="C48" s="12"/>
      <c r="D48" s="12"/>
      <c r="E48" s="27"/>
      <c r="F48" s="12"/>
      <c r="G48" s="12"/>
      <c r="H48" s="12"/>
      <c r="I48" s="1"/>
      <c r="J48" s="1"/>
      <c r="K48" s="1"/>
      <c r="L48" s="1"/>
      <c r="M48" s="1"/>
      <c r="N48" s="1"/>
    </row>
    <row r="49" spans="1:14" ht="14.45" customHeight="1" x14ac:dyDescent="0.4">
      <c r="A49" s="1"/>
      <c r="B49" s="12"/>
      <c r="C49" s="12"/>
      <c r="D49" s="12"/>
      <c r="E49" s="27"/>
      <c r="F49" s="12"/>
      <c r="G49" s="12"/>
      <c r="H49" s="12"/>
      <c r="I49" s="1"/>
      <c r="J49" s="1"/>
      <c r="K49" s="1"/>
      <c r="L49" s="1"/>
      <c r="M49" s="1"/>
      <c r="N49" s="1"/>
    </row>
    <row r="50" spans="1:14" ht="14.45" customHeight="1" x14ac:dyDescent="0.4">
      <c r="A50" s="1"/>
      <c r="B50" s="12"/>
      <c r="C50" s="12"/>
      <c r="D50" s="12"/>
      <c r="E50" s="27"/>
      <c r="F50" s="12"/>
      <c r="G50" s="12"/>
      <c r="H50" s="12"/>
      <c r="I50" s="1"/>
      <c r="J50" s="1"/>
      <c r="K50" s="1"/>
      <c r="L50" s="1"/>
      <c r="M50" s="1"/>
      <c r="N50" s="1"/>
    </row>
    <row r="51" spans="1:14" ht="14.45" customHeight="1" x14ac:dyDescent="0.4">
      <c r="A51" s="1"/>
      <c r="B51" s="12"/>
      <c r="C51" s="12"/>
      <c r="D51" s="12"/>
      <c r="E51" s="27"/>
      <c r="F51" s="12"/>
      <c r="G51" s="12"/>
      <c r="H51" s="12"/>
      <c r="I51" s="1"/>
      <c r="J51" s="1"/>
      <c r="K51" s="1"/>
      <c r="L51" s="1"/>
      <c r="M51" s="1"/>
      <c r="N51" s="1"/>
    </row>
    <row r="52" spans="1:14" ht="14.45" customHeight="1" x14ac:dyDescent="0.4">
      <c r="A52" s="1"/>
      <c r="B52" s="12"/>
      <c r="C52" s="12"/>
      <c r="D52" s="12"/>
      <c r="E52" s="27"/>
      <c r="F52" s="12"/>
      <c r="G52" s="12"/>
      <c r="H52" s="12"/>
      <c r="I52" s="1"/>
      <c r="J52" s="1"/>
      <c r="K52" s="1"/>
      <c r="L52" s="1"/>
      <c r="M52" s="1"/>
      <c r="N52" s="1"/>
    </row>
    <row r="53" spans="1:14" ht="14.45" customHeight="1" x14ac:dyDescent="0.4">
      <c r="A53" s="1"/>
      <c r="B53" s="12"/>
      <c r="C53" s="12"/>
      <c r="D53" s="12"/>
      <c r="E53" s="27"/>
      <c r="F53" s="12"/>
      <c r="G53" s="12"/>
      <c r="H53" s="12"/>
      <c r="I53" s="1"/>
      <c r="J53" s="1"/>
      <c r="K53" s="1"/>
      <c r="L53" s="1"/>
      <c r="M53" s="1"/>
      <c r="N53" s="1"/>
    </row>
    <row r="54" spans="1:14" ht="14.45" customHeight="1" x14ac:dyDescent="0.4">
      <c r="A54" s="1"/>
      <c r="B54" s="12"/>
      <c r="C54" s="12"/>
      <c r="D54" s="12"/>
      <c r="E54" s="27"/>
      <c r="F54" s="12"/>
      <c r="G54" s="12"/>
      <c r="H54" s="12"/>
      <c r="I54" s="1"/>
      <c r="J54" s="1"/>
      <c r="K54" s="1"/>
      <c r="L54" s="1"/>
      <c r="M54" s="1"/>
      <c r="N54" s="1"/>
    </row>
    <row r="55" spans="1:14" ht="14.45" customHeight="1" x14ac:dyDescent="0.4">
      <c r="A55" s="1"/>
      <c r="B55" s="12"/>
      <c r="C55" s="12"/>
      <c r="D55" s="12"/>
      <c r="E55" s="27"/>
      <c r="F55" s="12"/>
      <c r="G55" s="12"/>
      <c r="H55" s="12"/>
      <c r="I55" s="1"/>
      <c r="J55" s="1"/>
      <c r="K55" s="1"/>
      <c r="L55" s="1"/>
      <c r="M55" s="1"/>
      <c r="N55" s="1"/>
    </row>
    <row r="56" spans="1:14" ht="14.45" customHeight="1" x14ac:dyDescent="0.4">
      <c r="A56" s="1"/>
      <c r="B56" s="12"/>
      <c r="C56" s="12"/>
      <c r="D56" s="12"/>
      <c r="E56" s="27"/>
      <c r="F56" s="12"/>
      <c r="G56" s="12"/>
      <c r="H56" s="12"/>
      <c r="I56" s="1"/>
      <c r="J56" s="1"/>
      <c r="K56" s="1"/>
      <c r="L56" s="1"/>
      <c r="M56" s="1"/>
      <c r="N56" s="1"/>
    </row>
    <row r="57" spans="1:14" ht="14.45" customHeight="1" x14ac:dyDescent="0.4">
      <c r="A57" s="1"/>
      <c r="B57" s="12"/>
      <c r="C57" s="12"/>
      <c r="D57" s="12"/>
      <c r="E57" s="27"/>
      <c r="F57" s="12"/>
      <c r="G57" s="12"/>
      <c r="H57" s="12"/>
      <c r="I57" s="1"/>
      <c r="J57" s="1"/>
      <c r="K57" s="1"/>
      <c r="L57" s="1"/>
      <c r="M57" s="1"/>
      <c r="N57" s="1"/>
    </row>
    <row r="58" spans="1:14" ht="14.45" customHeight="1" x14ac:dyDescent="0.4">
      <c r="A58" s="1"/>
      <c r="B58" s="12"/>
      <c r="C58" s="12"/>
      <c r="D58" s="12"/>
      <c r="E58" s="27"/>
      <c r="F58" s="12"/>
      <c r="G58" s="12"/>
      <c r="H58" s="12"/>
      <c r="I58" s="1"/>
      <c r="J58" s="1"/>
      <c r="K58" s="1"/>
      <c r="L58" s="1"/>
      <c r="M58" s="1"/>
      <c r="N58" s="1"/>
    </row>
    <row r="59" spans="1:14" ht="14.45" customHeight="1" x14ac:dyDescent="0.4">
      <c r="A59" s="1"/>
      <c r="B59" s="12"/>
      <c r="C59" s="12"/>
      <c r="D59" s="12"/>
      <c r="E59" s="27"/>
      <c r="F59" s="12"/>
      <c r="G59" s="12"/>
      <c r="H59" s="12"/>
      <c r="I59" s="1"/>
      <c r="J59" s="1"/>
      <c r="K59" s="1"/>
      <c r="L59" s="1"/>
      <c r="M59" s="1"/>
      <c r="N59" s="1"/>
    </row>
    <row r="60" spans="1:14" ht="14.45" customHeight="1" x14ac:dyDescent="0.4">
      <c r="A60" s="1"/>
      <c r="B60" s="12"/>
      <c r="C60" s="12"/>
      <c r="D60" s="12"/>
      <c r="E60" s="27"/>
      <c r="F60" s="12"/>
      <c r="G60" s="12"/>
      <c r="H60" s="12"/>
      <c r="I60" s="1"/>
      <c r="J60" s="1"/>
      <c r="K60" s="1"/>
      <c r="L60" s="1"/>
      <c r="M60" s="1"/>
      <c r="N60" s="1"/>
    </row>
    <row r="61" spans="1:14" ht="14.45" customHeight="1" x14ac:dyDescent="0.4">
      <c r="A61" s="1"/>
      <c r="B61" s="12"/>
      <c r="C61" s="12"/>
      <c r="D61" s="12"/>
      <c r="E61" s="27"/>
      <c r="F61" s="12"/>
      <c r="G61" s="12"/>
      <c r="H61" s="12"/>
      <c r="I61" s="1"/>
      <c r="J61" s="1"/>
      <c r="K61" s="1"/>
      <c r="L61" s="1"/>
      <c r="M61" s="1"/>
      <c r="N61" s="1"/>
    </row>
    <row r="62" spans="1:14" ht="14.45" customHeight="1" x14ac:dyDescent="0.4">
      <c r="A62" s="1"/>
      <c r="B62" s="12"/>
      <c r="C62" s="12"/>
      <c r="D62" s="12"/>
      <c r="E62" s="27"/>
      <c r="F62" s="12"/>
      <c r="G62" s="12"/>
      <c r="H62" s="12"/>
      <c r="I62" s="1"/>
      <c r="J62" s="1"/>
      <c r="K62" s="1"/>
      <c r="L62" s="1"/>
      <c r="M62" s="1"/>
      <c r="N62" s="1"/>
    </row>
    <row r="63" spans="1:14" ht="14.45" customHeight="1" x14ac:dyDescent="0.4">
      <c r="A63" s="1"/>
      <c r="B63" s="12"/>
      <c r="C63" s="12"/>
      <c r="D63" s="12"/>
      <c r="E63" s="27"/>
      <c r="F63" s="12"/>
      <c r="G63" s="12"/>
      <c r="H63" s="12"/>
      <c r="I63" s="1"/>
      <c r="J63" s="1"/>
      <c r="K63" s="1"/>
      <c r="L63" s="1"/>
      <c r="M63" s="1"/>
      <c r="N63" s="1"/>
    </row>
    <row r="64" spans="1:14" ht="14.45" customHeight="1" x14ac:dyDescent="0.4">
      <c r="A64" s="1"/>
      <c r="B64" s="12"/>
      <c r="C64" s="12"/>
      <c r="D64" s="12"/>
      <c r="E64" s="27"/>
      <c r="F64" s="12"/>
      <c r="G64" s="12"/>
      <c r="H64" s="12"/>
      <c r="I64" s="1"/>
      <c r="J64" s="1"/>
      <c r="K64" s="1"/>
      <c r="L64" s="1"/>
      <c r="M64" s="1"/>
      <c r="N64" s="1"/>
    </row>
    <row r="65" spans="1:14" ht="14.45" customHeight="1" x14ac:dyDescent="0.4">
      <c r="A65" s="1"/>
      <c r="B65" s="12"/>
      <c r="C65" s="12"/>
      <c r="D65" s="12"/>
      <c r="E65" s="27"/>
      <c r="F65" s="12"/>
      <c r="G65" s="12"/>
      <c r="H65" s="12"/>
      <c r="I65" s="1"/>
      <c r="J65" s="1"/>
      <c r="K65" s="1"/>
      <c r="L65" s="1"/>
      <c r="M65" s="1"/>
      <c r="N65" s="1"/>
    </row>
    <row r="66" spans="1:14" ht="14.45" customHeight="1" x14ac:dyDescent="0.4">
      <c r="A66" s="1"/>
      <c r="B66" s="12"/>
      <c r="C66" s="12"/>
      <c r="D66" s="12"/>
      <c r="E66" s="27"/>
      <c r="F66" s="12"/>
      <c r="G66" s="12"/>
      <c r="H66" s="12"/>
      <c r="I66" s="1"/>
      <c r="J66" s="1"/>
      <c r="K66" s="1"/>
      <c r="L66" s="1"/>
      <c r="M66" s="1"/>
      <c r="N66" s="1"/>
    </row>
    <row r="67" spans="1:14" ht="14.45" customHeight="1" x14ac:dyDescent="0.4">
      <c r="A67" s="1"/>
      <c r="B67" s="12"/>
      <c r="C67" s="12"/>
      <c r="D67" s="12"/>
      <c r="E67" s="27"/>
      <c r="F67" s="12"/>
      <c r="G67" s="12"/>
      <c r="H67" s="12"/>
      <c r="I67" s="1"/>
      <c r="J67" s="1"/>
      <c r="K67" s="1"/>
      <c r="L67" s="1"/>
      <c r="M67" s="1"/>
      <c r="N67" s="1"/>
    </row>
    <row r="68" spans="1:14" ht="14.45" customHeight="1" x14ac:dyDescent="0.4">
      <c r="A68" s="1"/>
      <c r="B68" s="12"/>
      <c r="C68" s="12"/>
      <c r="D68" s="12"/>
      <c r="E68" s="27"/>
      <c r="F68" s="12"/>
      <c r="G68" s="12"/>
      <c r="H68" s="12"/>
      <c r="I68" s="1"/>
      <c r="J68" s="1"/>
      <c r="K68" s="1"/>
      <c r="L68" s="1"/>
      <c r="M68" s="1"/>
      <c r="N68" s="1"/>
    </row>
    <row r="69" spans="1:14" ht="14.45" customHeight="1" x14ac:dyDescent="0.4">
      <c r="A69" s="1"/>
      <c r="B69" s="12"/>
      <c r="C69" s="12"/>
      <c r="D69" s="12"/>
      <c r="E69" s="27"/>
      <c r="F69" s="12"/>
      <c r="G69" s="12"/>
      <c r="H69" s="12"/>
      <c r="I69" s="1"/>
      <c r="J69" s="1"/>
      <c r="K69" s="1"/>
      <c r="L69" s="1"/>
      <c r="M69" s="1"/>
      <c r="N69" s="1"/>
    </row>
    <row r="70" spans="1:14" ht="14.45" customHeight="1" x14ac:dyDescent="0.4">
      <c r="A70" s="1"/>
      <c r="B70" s="12"/>
      <c r="C70" s="12"/>
      <c r="D70" s="12"/>
      <c r="E70" s="27"/>
      <c r="F70" s="12"/>
      <c r="G70" s="12"/>
      <c r="H70" s="12"/>
      <c r="I70" s="1"/>
      <c r="J70" s="1"/>
      <c r="K70" s="1"/>
      <c r="L70" s="1"/>
      <c r="M70" s="1"/>
      <c r="N70" s="1"/>
    </row>
    <row r="71" spans="1:14" ht="14.45" customHeight="1" x14ac:dyDescent="0.4">
      <c r="A71" s="1"/>
      <c r="B71" s="12"/>
      <c r="C71" s="12"/>
      <c r="D71" s="12"/>
      <c r="E71" s="27"/>
      <c r="F71" s="12"/>
      <c r="G71" s="12"/>
      <c r="H71" s="12"/>
      <c r="I71" s="1"/>
      <c r="J71" s="1"/>
      <c r="K71" s="1"/>
      <c r="L71" s="1"/>
      <c r="M71" s="1"/>
      <c r="N71" s="1"/>
    </row>
    <row r="72" spans="1:14" ht="14.45" customHeight="1" x14ac:dyDescent="0.4">
      <c r="A72" s="1"/>
      <c r="B72" s="12"/>
      <c r="C72" s="12"/>
      <c r="D72" s="12"/>
      <c r="E72" s="27"/>
      <c r="F72" s="12"/>
      <c r="G72" s="12"/>
      <c r="H72" s="12"/>
      <c r="I72" s="1"/>
      <c r="J72" s="1"/>
      <c r="K72" s="1"/>
      <c r="L72" s="1"/>
      <c r="M72" s="1"/>
      <c r="N72" s="1"/>
    </row>
    <row r="73" spans="1:14" ht="14.45" customHeight="1" x14ac:dyDescent="0.4">
      <c r="A73" s="1"/>
      <c r="B73" s="12"/>
      <c r="C73" s="12"/>
      <c r="D73" s="12"/>
      <c r="E73" s="27"/>
      <c r="F73" s="12"/>
      <c r="G73" s="12"/>
      <c r="H73" s="12"/>
      <c r="I73" s="1"/>
      <c r="J73" s="1"/>
      <c r="K73" s="1"/>
      <c r="L73" s="1"/>
      <c r="M73" s="1"/>
      <c r="N73" s="1"/>
    </row>
    <row r="74" spans="1:14" ht="14.45" customHeight="1" x14ac:dyDescent="0.4">
      <c r="A74" s="1"/>
      <c r="B74" s="12"/>
      <c r="C74" s="12"/>
      <c r="D74" s="12"/>
      <c r="E74" s="27"/>
      <c r="F74" s="12"/>
      <c r="G74" s="12"/>
      <c r="H74" s="12"/>
      <c r="I74" s="1"/>
      <c r="J74" s="1"/>
      <c r="K74" s="1"/>
      <c r="L74" s="1"/>
      <c r="M74" s="1"/>
      <c r="N74" s="1"/>
    </row>
    <row r="75" spans="1:14" ht="14.45" customHeight="1" x14ac:dyDescent="0.4">
      <c r="A75" s="1"/>
      <c r="B75" s="12"/>
      <c r="C75" s="12"/>
      <c r="D75" s="12"/>
      <c r="E75" s="27"/>
      <c r="F75" s="12"/>
      <c r="G75" s="12"/>
      <c r="H75" s="12"/>
      <c r="I75" s="1"/>
      <c r="J75" s="1"/>
      <c r="K75" s="1"/>
      <c r="L75" s="1"/>
      <c r="M75" s="1"/>
      <c r="N75" s="1"/>
    </row>
    <row r="76" spans="1:14" ht="14.45" customHeight="1" x14ac:dyDescent="0.4">
      <c r="A76" s="1"/>
      <c r="B76" s="12"/>
      <c r="C76" s="12"/>
      <c r="D76" s="12"/>
      <c r="E76" s="27"/>
      <c r="F76" s="12"/>
      <c r="G76" s="12"/>
      <c r="H76" s="12"/>
      <c r="I76" s="1"/>
      <c r="J76" s="1"/>
      <c r="K76" s="1"/>
      <c r="L76" s="1"/>
      <c r="M76" s="1"/>
      <c r="N76" s="1"/>
    </row>
    <row r="77" spans="1:14" ht="14.45" customHeight="1" x14ac:dyDescent="0.4">
      <c r="A77" s="1"/>
      <c r="B77" s="12"/>
      <c r="C77" s="12"/>
      <c r="D77" s="12"/>
      <c r="E77" s="27"/>
      <c r="F77" s="12"/>
      <c r="G77" s="12"/>
      <c r="H77" s="12"/>
      <c r="I77" s="1"/>
      <c r="J77" s="1"/>
      <c r="K77" s="1"/>
      <c r="L77" s="1"/>
      <c r="M77" s="1"/>
      <c r="N77" s="1"/>
    </row>
    <row r="78" spans="1:14" ht="14.45" customHeight="1" x14ac:dyDescent="0.4">
      <c r="A78" s="1"/>
      <c r="B78" s="12"/>
      <c r="C78" s="12"/>
      <c r="D78" s="12"/>
      <c r="E78" s="27"/>
      <c r="F78" s="12"/>
      <c r="G78" s="12"/>
      <c r="H78" s="12"/>
      <c r="I78" s="1"/>
      <c r="J78" s="1"/>
      <c r="K78" s="1"/>
      <c r="L78" s="1"/>
      <c r="M78" s="1"/>
      <c r="N78" s="1"/>
    </row>
    <row r="79" spans="1:14" ht="14.45" customHeight="1" x14ac:dyDescent="0.4">
      <c r="A79" s="1"/>
      <c r="B79" s="12"/>
      <c r="C79" s="12"/>
      <c r="D79" s="12"/>
      <c r="E79" s="27"/>
      <c r="F79" s="12"/>
      <c r="G79" s="12"/>
      <c r="H79" s="12"/>
      <c r="I79" s="1"/>
      <c r="J79" s="1"/>
      <c r="K79" s="1"/>
      <c r="L79" s="1"/>
      <c r="M79" s="1"/>
      <c r="N79" s="1"/>
    </row>
    <row r="80" spans="1:14" ht="14.45" customHeight="1" x14ac:dyDescent="0.4">
      <c r="A80" s="1"/>
      <c r="B80" s="12"/>
      <c r="C80" s="12"/>
      <c r="D80" s="12"/>
      <c r="E80" s="27"/>
      <c r="F80" s="12"/>
      <c r="G80" s="12"/>
      <c r="H80" s="12"/>
      <c r="I80" s="1"/>
      <c r="J80" s="1"/>
      <c r="K80" s="1"/>
      <c r="L80" s="1"/>
      <c r="M80" s="1"/>
      <c r="N80" s="1"/>
    </row>
    <row r="81" spans="1:14" ht="14.45" customHeight="1" x14ac:dyDescent="0.4">
      <c r="A81" s="1"/>
      <c r="B81" s="12"/>
      <c r="C81" s="12"/>
      <c r="D81" s="12"/>
      <c r="E81" s="27"/>
      <c r="F81" s="12"/>
      <c r="G81" s="12"/>
      <c r="H81" s="12"/>
      <c r="I81" s="1"/>
      <c r="J81" s="1"/>
      <c r="K81" s="1"/>
      <c r="L81" s="1"/>
      <c r="M81" s="1"/>
      <c r="N81" s="1"/>
    </row>
    <row r="82" spans="1:14" ht="14.45" customHeight="1" x14ac:dyDescent="0.4">
      <c r="A82" s="1"/>
      <c r="B82" s="12"/>
      <c r="C82" s="12"/>
      <c r="D82" s="12"/>
      <c r="E82" s="27"/>
      <c r="F82" s="12"/>
      <c r="G82" s="12"/>
      <c r="H82" s="12"/>
      <c r="I82" s="1"/>
      <c r="J82" s="1"/>
      <c r="K82" s="1"/>
      <c r="L82" s="1"/>
      <c r="M82" s="1"/>
      <c r="N82" s="1"/>
    </row>
    <row r="83" spans="1:14" ht="14.45" customHeight="1" x14ac:dyDescent="0.4">
      <c r="A83" s="1"/>
      <c r="B83" s="12"/>
      <c r="C83" s="12"/>
      <c r="D83" s="12"/>
      <c r="E83" s="27"/>
      <c r="F83" s="12"/>
      <c r="G83" s="12"/>
      <c r="H83" s="12"/>
      <c r="I83" s="1"/>
      <c r="J83" s="1"/>
      <c r="K83" s="1"/>
      <c r="L83" s="1"/>
      <c r="M83" s="1"/>
      <c r="N83" s="1"/>
    </row>
    <row r="84" spans="1:14" ht="14.45" customHeight="1" x14ac:dyDescent="0.4">
      <c r="A84" s="1"/>
      <c r="B84" s="12"/>
      <c r="C84" s="12"/>
      <c r="D84" s="12"/>
      <c r="E84" s="27"/>
      <c r="F84" s="12"/>
      <c r="G84" s="12"/>
      <c r="H84" s="12"/>
      <c r="I84" s="1"/>
      <c r="J84" s="1"/>
      <c r="K84" s="1"/>
      <c r="L84" s="1"/>
      <c r="M84" s="1"/>
      <c r="N84" s="1"/>
    </row>
    <row r="85" spans="1:14" ht="14.45" customHeight="1" x14ac:dyDescent="0.4">
      <c r="A85" s="1"/>
      <c r="B85" s="12"/>
      <c r="C85" s="12"/>
      <c r="D85" s="12"/>
      <c r="E85" s="27"/>
      <c r="F85" s="12"/>
      <c r="G85" s="12"/>
      <c r="H85" s="12"/>
      <c r="I85" s="1"/>
      <c r="J85" s="1"/>
      <c r="K85" s="1"/>
      <c r="L85" s="1"/>
      <c r="M85" s="1"/>
      <c r="N85" s="1"/>
    </row>
    <row r="86" spans="1:14" ht="14.45" customHeight="1" x14ac:dyDescent="0.4">
      <c r="A86" s="1"/>
      <c r="B86" s="12"/>
      <c r="C86" s="12"/>
      <c r="D86" s="12"/>
      <c r="E86" s="27"/>
      <c r="F86" s="12"/>
      <c r="G86" s="12"/>
      <c r="H86" s="12"/>
      <c r="I86" s="1"/>
      <c r="J86" s="1"/>
      <c r="K86" s="1"/>
      <c r="L86" s="1"/>
      <c r="M86" s="1"/>
      <c r="N86" s="1"/>
    </row>
    <row r="87" spans="1:14" ht="14.45" customHeight="1" x14ac:dyDescent="0.4">
      <c r="A87" s="1"/>
      <c r="B87" s="12"/>
      <c r="C87" s="12"/>
      <c r="D87" s="12"/>
      <c r="E87" s="27"/>
      <c r="F87" s="12"/>
      <c r="G87" s="12"/>
      <c r="H87" s="12"/>
      <c r="I87" s="1"/>
      <c r="J87" s="1"/>
      <c r="K87" s="1"/>
      <c r="L87" s="1"/>
      <c r="M87" s="1"/>
      <c r="N87" s="1"/>
    </row>
    <row r="88" spans="1:14" ht="14.45" customHeight="1" x14ac:dyDescent="0.4">
      <c r="A88" s="1"/>
      <c r="B88" s="12"/>
      <c r="C88" s="12"/>
      <c r="D88" s="12"/>
      <c r="E88" s="27"/>
      <c r="F88" s="12"/>
      <c r="G88" s="12"/>
      <c r="H88" s="12"/>
      <c r="I88" s="1"/>
      <c r="J88" s="1"/>
      <c r="K88" s="1"/>
      <c r="L88" s="1"/>
      <c r="M88" s="1"/>
      <c r="N88" s="1"/>
    </row>
    <row r="89" spans="1:14" ht="14.45" customHeight="1" x14ac:dyDescent="0.4">
      <c r="A89" s="1"/>
      <c r="B89" s="12"/>
      <c r="C89" s="12"/>
      <c r="D89" s="12"/>
      <c r="E89" s="27"/>
      <c r="F89" s="12"/>
      <c r="G89" s="12"/>
      <c r="H89" s="12"/>
      <c r="I89" s="1"/>
      <c r="J89" s="1"/>
      <c r="K89" s="1"/>
      <c r="L89" s="1"/>
      <c r="M89" s="1"/>
      <c r="N89" s="1"/>
    </row>
    <row r="90" spans="1:14" ht="14.45" customHeight="1" x14ac:dyDescent="0.4">
      <c r="A90" s="1"/>
      <c r="B90" s="12"/>
      <c r="C90" s="12"/>
      <c r="D90" s="12"/>
      <c r="E90" s="27"/>
      <c r="F90" s="12"/>
      <c r="G90" s="12"/>
      <c r="H90" s="12"/>
      <c r="I90" s="1"/>
      <c r="J90" s="1"/>
      <c r="K90" s="1"/>
      <c r="L90" s="1"/>
      <c r="M90" s="1"/>
      <c r="N90" s="1"/>
    </row>
    <row r="91" spans="1:14" ht="14.45" customHeight="1" x14ac:dyDescent="0.4">
      <c r="A91" s="1"/>
      <c r="B91" s="12"/>
      <c r="C91" s="12"/>
      <c r="D91" s="12"/>
      <c r="E91" s="27"/>
      <c r="F91" s="12"/>
      <c r="G91" s="12"/>
      <c r="H91" s="12"/>
      <c r="I91" s="1"/>
      <c r="J91" s="1"/>
      <c r="K91" s="1"/>
      <c r="L91" s="1"/>
      <c r="M91" s="1"/>
      <c r="N91" s="1"/>
    </row>
    <row r="92" spans="1:14" ht="14.45" customHeight="1" x14ac:dyDescent="0.4">
      <c r="A92" s="1"/>
      <c r="B92" s="12"/>
      <c r="C92" s="12"/>
      <c r="D92" s="12"/>
      <c r="E92" s="27"/>
      <c r="F92" s="12"/>
      <c r="G92" s="12"/>
      <c r="H92" s="12"/>
      <c r="I92" s="1"/>
      <c r="J92" s="1"/>
      <c r="K92" s="1"/>
      <c r="L92" s="1"/>
      <c r="M92" s="1"/>
      <c r="N92" s="1"/>
    </row>
    <row r="93" spans="1:14" ht="14.45" customHeight="1" x14ac:dyDescent="0.4">
      <c r="A93" s="1"/>
      <c r="B93" s="12"/>
      <c r="C93" s="12"/>
      <c r="D93" s="12"/>
      <c r="E93" s="27"/>
      <c r="F93" s="12"/>
      <c r="G93" s="12"/>
      <c r="H93" s="12"/>
      <c r="I93" s="1"/>
      <c r="J93" s="1"/>
      <c r="K93" s="1"/>
      <c r="L93" s="1"/>
      <c r="M93" s="1"/>
      <c r="N93" s="1"/>
    </row>
    <row r="94" spans="1:14" ht="14.45" customHeight="1" x14ac:dyDescent="0.4">
      <c r="A94" s="1"/>
      <c r="B94" s="12"/>
      <c r="C94" s="12"/>
      <c r="D94" s="12"/>
      <c r="E94" s="27"/>
      <c r="F94" s="12"/>
      <c r="G94" s="12"/>
      <c r="H94" s="12"/>
      <c r="I94" s="1"/>
      <c r="J94" s="1"/>
      <c r="K94" s="1"/>
      <c r="L94" s="1"/>
      <c r="M94" s="1"/>
      <c r="N94" s="1"/>
    </row>
    <row r="95" spans="1:14" ht="14.45" customHeight="1" x14ac:dyDescent="0.4">
      <c r="A95" s="1"/>
      <c r="B95" s="12"/>
      <c r="C95" s="12"/>
      <c r="D95" s="12"/>
      <c r="E95" s="27"/>
      <c r="F95" s="12"/>
      <c r="G95" s="12"/>
      <c r="H95" s="12"/>
      <c r="I95" s="1"/>
      <c r="J95" s="1"/>
      <c r="K95" s="1"/>
      <c r="L95" s="1"/>
      <c r="M95" s="1"/>
      <c r="N95" s="1"/>
    </row>
    <row r="96" spans="1:14" ht="14.45" customHeight="1" x14ac:dyDescent="0.4">
      <c r="A96" s="1"/>
      <c r="B96" s="12"/>
      <c r="C96" s="12"/>
      <c r="D96" s="12"/>
      <c r="E96" s="27"/>
      <c r="F96" s="12"/>
      <c r="G96" s="12"/>
      <c r="H96" s="12"/>
      <c r="I96" s="1"/>
      <c r="J96" s="1"/>
      <c r="K96" s="1"/>
      <c r="L96" s="1"/>
      <c r="M96" s="1"/>
      <c r="N96" s="1"/>
    </row>
    <row r="97" spans="1:14" ht="14.45" customHeight="1" x14ac:dyDescent="0.4">
      <c r="A97" s="1"/>
      <c r="B97" s="12"/>
      <c r="C97" s="12"/>
      <c r="D97" s="12"/>
      <c r="E97" s="27"/>
      <c r="F97" s="12"/>
      <c r="G97" s="12"/>
      <c r="H97" s="12"/>
      <c r="I97" s="1"/>
      <c r="J97" s="1"/>
      <c r="K97" s="1"/>
      <c r="L97" s="1"/>
      <c r="M97" s="1"/>
      <c r="N97" s="1"/>
    </row>
    <row r="98" spans="1:14" ht="14.45" customHeight="1" x14ac:dyDescent="0.4">
      <c r="A98" s="1"/>
      <c r="B98" s="12"/>
      <c r="C98" s="12"/>
      <c r="D98" s="12"/>
      <c r="E98" s="27"/>
      <c r="F98" s="12"/>
      <c r="G98" s="12"/>
      <c r="H98" s="12"/>
      <c r="I98" s="1"/>
      <c r="J98" s="1"/>
      <c r="K98" s="1"/>
      <c r="L98" s="1"/>
      <c r="M98" s="1"/>
      <c r="N98" s="1"/>
    </row>
    <row r="99" spans="1:14" ht="14.45" customHeight="1" x14ac:dyDescent="0.4">
      <c r="A99" s="1"/>
      <c r="B99" s="12"/>
      <c r="C99" s="12"/>
      <c r="D99" s="12"/>
      <c r="E99" s="27"/>
      <c r="F99" s="12"/>
      <c r="G99" s="12"/>
      <c r="H99" s="12"/>
      <c r="I99" s="1"/>
      <c r="J99" s="1"/>
      <c r="K99" s="1"/>
      <c r="L99" s="1"/>
      <c r="M99" s="1"/>
      <c r="N99" s="1"/>
    </row>
    <row r="100" spans="1:14" ht="14.45" customHeight="1" x14ac:dyDescent="0.4">
      <c r="A100" s="1"/>
      <c r="B100" s="12"/>
      <c r="C100" s="12"/>
      <c r="D100" s="12"/>
      <c r="E100" s="27"/>
      <c r="F100" s="12"/>
      <c r="G100" s="12"/>
      <c r="H100" s="12"/>
      <c r="I100" s="1"/>
      <c r="J100" s="1"/>
      <c r="K100" s="1"/>
      <c r="L100" s="1"/>
      <c r="M100" s="1"/>
      <c r="N100" s="1"/>
    </row>
    <row r="101" spans="1:14" ht="14.45" customHeight="1" x14ac:dyDescent="0.4">
      <c r="A101" s="1"/>
      <c r="B101" s="12"/>
      <c r="C101" s="12"/>
      <c r="D101" s="12"/>
      <c r="E101" s="27"/>
      <c r="F101" s="12"/>
      <c r="G101" s="12"/>
      <c r="H101" s="12"/>
      <c r="I101" s="1"/>
      <c r="J101" s="1"/>
      <c r="K101" s="1"/>
      <c r="L101" s="1"/>
      <c r="M101" s="1"/>
      <c r="N101" s="1"/>
    </row>
    <row r="102" spans="1:14" ht="14.45" customHeight="1" x14ac:dyDescent="0.4">
      <c r="A102" s="1"/>
      <c r="B102" s="12"/>
      <c r="C102" s="12"/>
      <c r="D102" s="12"/>
      <c r="E102" s="27"/>
      <c r="F102" s="12"/>
      <c r="G102" s="12"/>
      <c r="H102" s="12"/>
      <c r="I102" s="1"/>
      <c r="J102" s="1"/>
      <c r="K102" s="1"/>
      <c r="L102" s="1"/>
      <c r="M102" s="1"/>
      <c r="N102" s="1"/>
    </row>
    <row r="103" spans="1:14" ht="14.45" customHeight="1" x14ac:dyDescent="0.4">
      <c r="A103" s="1"/>
      <c r="B103" s="12"/>
      <c r="C103" s="12"/>
      <c r="D103" s="12"/>
      <c r="E103" s="27"/>
      <c r="F103" s="12"/>
      <c r="G103" s="12"/>
      <c r="H103" s="12"/>
      <c r="I103" s="1"/>
      <c r="J103" s="1"/>
      <c r="K103" s="1"/>
      <c r="L103" s="1"/>
      <c r="M103" s="1"/>
      <c r="N103" s="1"/>
    </row>
    <row r="104" spans="1:14" ht="14.45" customHeight="1" x14ac:dyDescent="0.4">
      <c r="A104" s="1"/>
      <c r="B104" s="12"/>
      <c r="C104" s="12"/>
      <c r="D104" s="12"/>
      <c r="E104" s="27"/>
      <c r="F104" s="12"/>
      <c r="G104" s="12"/>
      <c r="H104" s="12"/>
      <c r="I104" s="1"/>
      <c r="J104" s="1"/>
      <c r="K104" s="1"/>
      <c r="L104" s="1"/>
      <c r="M104" s="1"/>
      <c r="N104" s="1"/>
    </row>
    <row r="105" spans="1:14" ht="14.45" customHeight="1" x14ac:dyDescent="0.4">
      <c r="A105" s="1"/>
      <c r="B105" s="12"/>
      <c r="C105" s="12"/>
      <c r="D105" s="12"/>
      <c r="E105" s="27"/>
      <c r="F105" s="12"/>
      <c r="G105" s="12"/>
      <c r="H105" s="12"/>
      <c r="I105" s="1"/>
      <c r="J105" s="1"/>
      <c r="K105" s="1"/>
      <c r="L105" s="1"/>
      <c r="M105" s="1"/>
      <c r="N105" s="1"/>
    </row>
    <row r="106" spans="1:14" ht="14.45" customHeight="1" x14ac:dyDescent="0.4">
      <c r="A106" s="1"/>
      <c r="B106" s="12"/>
      <c r="C106" s="12"/>
      <c r="D106" s="12"/>
      <c r="E106" s="27"/>
      <c r="F106" s="12"/>
      <c r="G106" s="12"/>
      <c r="H106" s="12"/>
      <c r="I106" s="1"/>
      <c r="J106" s="1"/>
      <c r="K106" s="1"/>
      <c r="L106" s="1"/>
      <c r="M106" s="1"/>
      <c r="N106" s="1"/>
    </row>
    <row r="107" spans="1:14" ht="14.45" customHeight="1" x14ac:dyDescent="0.4">
      <c r="A107" s="1"/>
      <c r="B107" s="12"/>
      <c r="C107" s="12"/>
      <c r="D107" s="12"/>
      <c r="E107" s="27"/>
      <c r="F107" s="12"/>
      <c r="G107" s="12"/>
      <c r="H107" s="12"/>
      <c r="I107" s="1"/>
      <c r="J107" s="1"/>
      <c r="K107" s="1"/>
      <c r="L107" s="1"/>
      <c r="M107" s="1"/>
      <c r="N107" s="1"/>
    </row>
    <row r="108" spans="1:14" ht="14.45" customHeight="1" x14ac:dyDescent="0.4">
      <c r="A108" s="1"/>
      <c r="B108" s="12"/>
      <c r="C108" s="12"/>
      <c r="D108" s="12"/>
      <c r="E108" s="27"/>
      <c r="F108" s="12"/>
      <c r="G108" s="12"/>
      <c r="H108" s="12"/>
      <c r="I108" s="1"/>
      <c r="J108" s="1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1">
    <mergeCell ref="B2:N3"/>
  </mergeCells>
  <conditionalFormatting sqref="B9:H108">
    <cfRule type="expression" dxfId="2" priority="1">
      <formula>AND($F9&lt;&gt;"Completed",$E9&lt;TODAY(),$E9&lt;&gt;"")</formula>
    </cfRule>
  </conditionalFormatting>
  <dataValidations count="4">
    <dataValidation type="list" errorTitle="Invalid Entry" error="Select a value from the dropdown list." sqref="C9:C108" xr:uid="{00000000-0002-0000-0300-000000000000}">
      <formula1>list_Task_Category</formula1>
    </dataValidation>
    <dataValidation type="date" sqref="E9:E108" xr:uid="{00000000-0002-0000-0300-000001000000}">
      <formula1>DATE(2020,1,1)</formula1>
      <formula2>DATE(2035,12,31)</formula2>
    </dataValidation>
    <dataValidation type="list" errorTitle="Invalid Entry" error="Select a value from the dropdown list." sqref="F9:F108" xr:uid="{00000000-0002-0000-0300-000002000000}">
      <formula1>list_Task_Status</formula1>
    </dataValidation>
    <dataValidation type="list" errorTitle="Invalid Entry" error="Select a value from the dropdown list." sqref="G9:G108" xr:uid="{00000000-0002-0000-0300-000003000000}">
      <formula1>list_Owner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1C2C"/>
  </sheetPr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"/>
    </sheetView>
  </sheetViews>
  <sheetFormatPr defaultRowHeight="13.9" x14ac:dyDescent="0.4"/>
  <cols>
    <col min="1" max="1" width="2.46484375" customWidth="1"/>
    <col min="2" max="2" width="12" customWidth="1"/>
    <col min="3" max="3" width="20" customWidth="1"/>
    <col min="4" max="5" width="28" customWidth="1"/>
    <col min="6" max="8" width="16" customWidth="1"/>
    <col min="9" max="9" width="18" customWidth="1"/>
    <col min="10" max="10" width="16" customWidth="1"/>
    <col min="11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.75" x14ac:dyDescent="0.4">
      <c r="A6" s="1"/>
      <c r="B6" s="28" t="s">
        <v>145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4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45" customHeight="1" x14ac:dyDescent="0.4">
      <c r="A8" s="1"/>
      <c r="B8" s="5" t="s">
        <v>146</v>
      </c>
      <c r="C8" s="5" t="s">
        <v>127</v>
      </c>
      <c r="D8" s="5" t="s">
        <v>147</v>
      </c>
      <c r="E8" s="5" t="s">
        <v>148</v>
      </c>
      <c r="F8" s="5" t="s">
        <v>149</v>
      </c>
      <c r="G8" s="5" t="s">
        <v>150</v>
      </c>
      <c r="H8" s="5" t="s">
        <v>151</v>
      </c>
      <c r="I8" s="5" t="s">
        <v>51</v>
      </c>
      <c r="J8" s="5" t="s">
        <v>152</v>
      </c>
      <c r="K8" s="1"/>
      <c r="L8" s="1"/>
      <c r="M8" s="1"/>
      <c r="N8" s="1"/>
    </row>
    <row r="9" spans="1:14" ht="14.45" customHeight="1" x14ac:dyDescent="0.4">
      <c r="A9" s="1"/>
      <c r="B9" s="12" t="s">
        <v>153</v>
      </c>
      <c r="C9" s="12" t="s">
        <v>102</v>
      </c>
      <c r="D9" s="12" t="s">
        <v>154</v>
      </c>
      <c r="E9" s="12" t="s">
        <v>155</v>
      </c>
      <c r="F9" s="34">
        <v>180000</v>
      </c>
      <c r="G9" s="34">
        <v>50000</v>
      </c>
      <c r="H9" s="35">
        <f>IF(OR(tbl_Vendor_Tracker[[#This Row],[Contract_Amt]]="",tbl_Vendor_Tracker[[#This Row],[Deposit_Paid]]=""),"",tbl_Vendor_Tracker[[#This Row],[Contract_Amt]]-tbl_Vendor_Tracker[[#This Row],[Deposit_Paid]])</f>
        <v>130000</v>
      </c>
      <c r="I9" s="12" t="s">
        <v>75</v>
      </c>
      <c r="J9" s="12" t="s">
        <v>64</v>
      </c>
      <c r="K9" s="1"/>
      <c r="L9" s="1"/>
      <c r="M9" s="1"/>
      <c r="N9" s="1"/>
    </row>
    <row r="10" spans="1:14" ht="14.45" customHeight="1" x14ac:dyDescent="0.4">
      <c r="A10" s="1"/>
      <c r="B10" s="12" t="s">
        <v>156</v>
      </c>
      <c r="C10" s="12" t="s">
        <v>96</v>
      </c>
      <c r="D10" s="12" t="s">
        <v>157</v>
      </c>
      <c r="E10" s="12" t="s">
        <v>158</v>
      </c>
      <c r="F10" s="34">
        <v>52000</v>
      </c>
      <c r="G10" s="34">
        <v>15000</v>
      </c>
      <c r="H10" s="35">
        <f>IF(OR(tbl_Vendor_Tracker[[#This Row],[Contract_Amt]]="",tbl_Vendor_Tracker[[#This Row],[Deposit_Paid]]=""),"",tbl_Vendor_Tracker[[#This Row],[Contract_Amt]]-tbl_Vendor_Tracker[[#This Row],[Deposit_Paid]])</f>
        <v>37000</v>
      </c>
      <c r="I10" s="12" t="s">
        <v>75</v>
      </c>
      <c r="J10" s="12" t="s">
        <v>64</v>
      </c>
      <c r="K10" s="1"/>
      <c r="L10" s="1"/>
      <c r="M10" s="1"/>
      <c r="N10" s="1"/>
    </row>
    <row r="11" spans="1:14" ht="14.45" customHeight="1" x14ac:dyDescent="0.4">
      <c r="A11" s="1"/>
      <c r="B11" s="12" t="s">
        <v>159</v>
      </c>
      <c r="C11" s="12" t="s">
        <v>107</v>
      </c>
      <c r="D11" s="12" t="s">
        <v>160</v>
      </c>
      <c r="E11" s="12" t="s">
        <v>161</v>
      </c>
      <c r="F11" s="34">
        <v>28000</v>
      </c>
      <c r="G11" s="34">
        <v>0</v>
      </c>
      <c r="H11" s="35">
        <f>IF(OR(tbl_Vendor_Tracker[[#This Row],[Contract_Amt]]="",tbl_Vendor_Tracker[[#This Row],[Deposit_Paid]]=""),"",tbl_Vendor_Tracker[[#This Row],[Contract_Amt]]-tbl_Vendor_Tracker[[#This Row],[Deposit_Paid]])</f>
        <v>28000</v>
      </c>
      <c r="I11" s="12" t="s">
        <v>63</v>
      </c>
      <c r="J11" s="12" t="s">
        <v>76</v>
      </c>
      <c r="K11" s="1"/>
      <c r="L11" s="1"/>
      <c r="M11" s="1"/>
      <c r="N11" s="1"/>
    </row>
    <row r="12" spans="1:14" ht="14.45" customHeight="1" x14ac:dyDescent="0.4">
      <c r="A12" s="1"/>
      <c r="B12" s="12"/>
      <c r="C12" s="12"/>
      <c r="D12" s="12"/>
      <c r="E12" s="12"/>
      <c r="F12" s="34"/>
      <c r="G12" s="34"/>
      <c r="H12" s="35" t="str">
        <f>IF(OR(tbl_Vendor_Tracker[[#This Row],[Contract_Amt]]="",tbl_Vendor_Tracker[[#This Row],[Deposit_Paid]]=""),"",tbl_Vendor_Tracker[[#This Row],[Contract_Amt]]-tbl_Vendor_Tracker[[#This Row],[Deposit_Paid]])</f>
        <v/>
      </c>
      <c r="I12" s="12"/>
      <c r="J12" s="12"/>
      <c r="K12" s="1"/>
      <c r="L12" s="1"/>
      <c r="M12" s="1"/>
      <c r="N12" s="1"/>
    </row>
    <row r="13" spans="1:14" ht="14.45" customHeight="1" x14ac:dyDescent="0.4">
      <c r="A13" s="1"/>
      <c r="B13" s="12"/>
      <c r="C13" s="12"/>
      <c r="D13" s="12"/>
      <c r="E13" s="12"/>
      <c r="F13" s="34"/>
      <c r="G13" s="34"/>
      <c r="H13" s="35" t="str">
        <f>IF(OR(tbl_Vendor_Tracker[[#This Row],[Contract_Amt]]="",tbl_Vendor_Tracker[[#This Row],[Deposit_Paid]]=""),"",tbl_Vendor_Tracker[[#This Row],[Contract_Amt]]-tbl_Vendor_Tracker[[#This Row],[Deposit_Paid]])</f>
        <v/>
      </c>
      <c r="I13" s="12"/>
      <c r="J13" s="12"/>
      <c r="K13" s="1"/>
      <c r="L13" s="1"/>
      <c r="M13" s="1"/>
      <c r="N13" s="1"/>
    </row>
    <row r="14" spans="1:14" ht="14.45" customHeight="1" x14ac:dyDescent="0.4">
      <c r="A14" s="1"/>
      <c r="B14" s="12"/>
      <c r="C14" s="12"/>
      <c r="D14" s="12"/>
      <c r="E14" s="12"/>
      <c r="F14" s="34"/>
      <c r="G14" s="34"/>
      <c r="H14" s="35" t="str">
        <f>IF(OR(tbl_Vendor_Tracker[[#This Row],[Contract_Amt]]="",tbl_Vendor_Tracker[[#This Row],[Deposit_Paid]]=""),"",tbl_Vendor_Tracker[[#This Row],[Contract_Amt]]-tbl_Vendor_Tracker[[#This Row],[Deposit_Paid]])</f>
        <v/>
      </c>
      <c r="I14" s="12"/>
      <c r="J14" s="12"/>
      <c r="K14" s="1"/>
      <c r="L14" s="1"/>
      <c r="M14" s="1"/>
      <c r="N14" s="1"/>
    </row>
    <row r="15" spans="1:14" ht="14.45" customHeight="1" x14ac:dyDescent="0.4">
      <c r="A15" s="1"/>
      <c r="B15" s="12"/>
      <c r="C15" s="12"/>
      <c r="D15" s="12"/>
      <c r="E15" s="12"/>
      <c r="F15" s="34"/>
      <c r="G15" s="34"/>
      <c r="H15" s="35" t="str">
        <f>IF(OR(tbl_Vendor_Tracker[[#This Row],[Contract_Amt]]="",tbl_Vendor_Tracker[[#This Row],[Deposit_Paid]]=""),"",tbl_Vendor_Tracker[[#This Row],[Contract_Amt]]-tbl_Vendor_Tracker[[#This Row],[Deposit_Paid]])</f>
        <v/>
      </c>
      <c r="I15" s="12"/>
      <c r="J15" s="12"/>
      <c r="K15" s="1"/>
      <c r="L15" s="1"/>
      <c r="M15" s="1"/>
      <c r="N15" s="1"/>
    </row>
    <row r="16" spans="1:14" ht="14.45" customHeight="1" x14ac:dyDescent="0.4">
      <c r="A16" s="1"/>
      <c r="B16" s="12"/>
      <c r="C16" s="12"/>
      <c r="D16" s="12"/>
      <c r="E16" s="12"/>
      <c r="F16" s="34"/>
      <c r="G16" s="34"/>
      <c r="H16" s="35" t="str">
        <f>IF(OR(tbl_Vendor_Tracker[[#This Row],[Contract_Amt]]="",tbl_Vendor_Tracker[[#This Row],[Deposit_Paid]]=""),"",tbl_Vendor_Tracker[[#This Row],[Contract_Amt]]-tbl_Vendor_Tracker[[#This Row],[Deposit_Paid]])</f>
        <v/>
      </c>
      <c r="I16" s="12"/>
      <c r="J16" s="12"/>
      <c r="K16" s="1"/>
      <c r="L16" s="1"/>
      <c r="M16" s="1"/>
      <c r="N16" s="1"/>
    </row>
    <row r="17" spans="1:14" ht="14.45" customHeight="1" x14ac:dyDescent="0.4">
      <c r="A17" s="1"/>
      <c r="B17" s="12"/>
      <c r="C17" s="12"/>
      <c r="D17" s="12"/>
      <c r="E17" s="12"/>
      <c r="F17" s="34"/>
      <c r="G17" s="34"/>
      <c r="H17" s="35" t="str">
        <f>IF(OR(tbl_Vendor_Tracker[[#This Row],[Contract_Amt]]="",tbl_Vendor_Tracker[[#This Row],[Deposit_Paid]]=""),"",tbl_Vendor_Tracker[[#This Row],[Contract_Amt]]-tbl_Vendor_Tracker[[#This Row],[Deposit_Paid]])</f>
        <v/>
      </c>
      <c r="I17" s="12"/>
      <c r="J17" s="12"/>
      <c r="K17" s="1"/>
      <c r="L17" s="1"/>
      <c r="M17" s="1"/>
      <c r="N17" s="1"/>
    </row>
    <row r="18" spans="1:14" ht="14.45" customHeight="1" x14ac:dyDescent="0.4">
      <c r="A18" s="1"/>
      <c r="B18" s="12"/>
      <c r="C18" s="12"/>
      <c r="D18" s="12"/>
      <c r="E18" s="12"/>
      <c r="F18" s="34"/>
      <c r="G18" s="34"/>
      <c r="H18" s="35" t="str">
        <f>IF(OR(tbl_Vendor_Tracker[[#This Row],[Contract_Amt]]="",tbl_Vendor_Tracker[[#This Row],[Deposit_Paid]]=""),"",tbl_Vendor_Tracker[[#This Row],[Contract_Amt]]-tbl_Vendor_Tracker[[#This Row],[Deposit_Paid]])</f>
        <v/>
      </c>
      <c r="I18" s="12"/>
      <c r="J18" s="12"/>
      <c r="K18" s="1"/>
      <c r="L18" s="1"/>
      <c r="M18" s="1"/>
      <c r="N18" s="1"/>
    </row>
    <row r="19" spans="1:14" ht="14.45" customHeight="1" x14ac:dyDescent="0.4">
      <c r="A19" s="1"/>
      <c r="B19" s="12"/>
      <c r="C19" s="12"/>
      <c r="D19" s="12"/>
      <c r="E19" s="12"/>
      <c r="F19" s="34"/>
      <c r="G19" s="34"/>
      <c r="H19" s="35" t="str">
        <f>IF(OR(tbl_Vendor_Tracker[[#This Row],[Contract_Amt]]="",tbl_Vendor_Tracker[[#This Row],[Deposit_Paid]]=""),"",tbl_Vendor_Tracker[[#This Row],[Contract_Amt]]-tbl_Vendor_Tracker[[#This Row],[Deposit_Paid]])</f>
        <v/>
      </c>
      <c r="I19" s="12"/>
      <c r="J19" s="12"/>
      <c r="K19" s="1"/>
      <c r="L19" s="1"/>
      <c r="M19" s="1"/>
      <c r="N19" s="1"/>
    </row>
    <row r="20" spans="1:14" ht="14.45" customHeight="1" x14ac:dyDescent="0.4">
      <c r="A20" s="1"/>
      <c r="B20" s="12"/>
      <c r="C20" s="12"/>
      <c r="D20" s="12"/>
      <c r="E20" s="12"/>
      <c r="F20" s="34"/>
      <c r="G20" s="34"/>
      <c r="H20" s="35" t="str">
        <f>IF(OR(tbl_Vendor_Tracker[[#This Row],[Contract_Amt]]="",tbl_Vendor_Tracker[[#This Row],[Deposit_Paid]]=""),"",tbl_Vendor_Tracker[[#This Row],[Contract_Amt]]-tbl_Vendor_Tracker[[#This Row],[Deposit_Paid]])</f>
        <v/>
      </c>
      <c r="I20" s="12"/>
      <c r="J20" s="12"/>
      <c r="K20" s="1"/>
      <c r="L20" s="1"/>
      <c r="M20" s="1"/>
      <c r="N20" s="1"/>
    </row>
    <row r="21" spans="1:14" ht="14.45" customHeight="1" x14ac:dyDescent="0.4">
      <c r="A21" s="1"/>
      <c r="B21" s="12"/>
      <c r="C21" s="12"/>
      <c r="D21" s="12"/>
      <c r="E21" s="12"/>
      <c r="F21" s="34"/>
      <c r="G21" s="34"/>
      <c r="H21" s="35" t="str">
        <f>IF(OR(tbl_Vendor_Tracker[[#This Row],[Contract_Amt]]="",tbl_Vendor_Tracker[[#This Row],[Deposit_Paid]]=""),"",tbl_Vendor_Tracker[[#This Row],[Contract_Amt]]-tbl_Vendor_Tracker[[#This Row],[Deposit_Paid]])</f>
        <v/>
      </c>
      <c r="I21" s="12"/>
      <c r="J21" s="12"/>
      <c r="K21" s="1"/>
      <c r="L21" s="1"/>
      <c r="M21" s="1"/>
      <c r="N21" s="1"/>
    </row>
    <row r="22" spans="1:14" ht="14.45" customHeight="1" x14ac:dyDescent="0.4">
      <c r="A22" s="1"/>
      <c r="B22" s="12"/>
      <c r="C22" s="12"/>
      <c r="D22" s="12"/>
      <c r="E22" s="12"/>
      <c r="F22" s="34"/>
      <c r="G22" s="34"/>
      <c r="H22" s="35" t="str">
        <f>IF(OR(tbl_Vendor_Tracker[[#This Row],[Contract_Amt]]="",tbl_Vendor_Tracker[[#This Row],[Deposit_Paid]]=""),"",tbl_Vendor_Tracker[[#This Row],[Contract_Amt]]-tbl_Vendor_Tracker[[#This Row],[Deposit_Paid]])</f>
        <v/>
      </c>
      <c r="I22" s="12"/>
      <c r="J22" s="12"/>
      <c r="K22" s="1"/>
      <c r="L22" s="1"/>
      <c r="M22" s="1"/>
      <c r="N22" s="1"/>
    </row>
    <row r="23" spans="1:14" ht="14.45" customHeight="1" x14ac:dyDescent="0.4">
      <c r="A23" s="1"/>
      <c r="B23" s="12"/>
      <c r="C23" s="12"/>
      <c r="D23" s="12"/>
      <c r="E23" s="12"/>
      <c r="F23" s="34"/>
      <c r="G23" s="34"/>
      <c r="H23" s="35" t="str">
        <f>IF(OR(tbl_Vendor_Tracker[[#This Row],[Contract_Amt]]="",tbl_Vendor_Tracker[[#This Row],[Deposit_Paid]]=""),"",tbl_Vendor_Tracker[[#This Row],[Contract_Amt]]-tbl_Vendor_Tracker[[#This Row],[Deposit_Paid]])</f>
        <v/>
      </c>
      <c r="I23" s="12"/>
      <c r="J23" s="12"/>
      <c r="K23" s="1"/>
      <c r="L23" s="1"/>
      <c r="M23" s="1"/>
      <c r="N23" s="1"/>
    </row>
    <row r="24" spans="1:14" ht="14.45" customHeight="1" x14ac:dyDescent="0.4">
      <c r="A24" s="1"/>
      <c r="B24" s="12"/>
      <c r="C24" s="12"/>
      <c r="D24" s="12"/>
      <c r="E24" s="12"/>
      <c r="F24" s="34"/>
      <c r="G24" s="34"/>
      <c r="H24" s="35" t="str">
        <f>IF(OR(tbl_Vendor_Tracker[[#This Row],[Contract_Amt]]="",tbl_Vendor_Tracker[[#This Row],[Deposit_Paid]]=""),"",tbl_Vendor_Tracker[[#This Row],[Contract_Amt]]-tbl_Vendor_Tracker[[#This Row],[Deposit_Paid]])</f>
        <v/>
      </c>
      <c r="I24" s="12"/>
      <c r="J24" s="12"/>
      <c r="K24" s="1"/>
      <c r="L24" s="1"/>
      <c r="M24" s="1"/>
      <c r="N24" s="1"/>
    </row>
    <row r="25" spans="1:14" ht="14.45" customHeight="1" x14ac:dyDescent="0.4">
      <c r="A25" s="1"/>
      <c r="B25" s="12"/>
      <c r="C25" s="12"/>
      <c r="D25" s="12"/>
      <c r="E25" s="12"/>
      <c r="F25" s="34"/>
      <c r="G25" s="34"/>
      <c r="H25" s="35" t="str">
        <f>IF(OR(tbl_Vendor_Tracker[[#This Row],[Contract_Amt]]="",tbl_Vendor_Tracker[[#This Row],[Deposit_Paid]]=""),"",tbl_Vendor_Tracker[[#This Row],[Contract_Amt]]-tbl_Vendor_Tracker[[#This Row],[Deposit_Paid]])</f>
        <v/>
      </c>
      <c r="I25" s="12"/>
      <c r="J25" s="12"/>
      <c r="K25" s="1"/>
      <c r="L25" s="1"/>
      <c r="M25" s="1"/>
      <c r="N25" s="1"/>
    </row>
    <row r="26" spans="1:14" ht="14.45" customHeight="1" x14ac:dyDescent="0.4">
      <c r="A26" s="1"/>
      <c r="B26" s="12"/>
      <c r="C26" s="12"/>
      <c r="D26" s="12"/>
      <c r="E26" s="12"/>
      <c r="F26" s="34"/>
      <c r="G26" s="34"/>
      <c r="H26" s="35" t="str">
        <f>IF(OR(tbl_Vendor_Tracker[[#This Row],[Contract_Amt]]="",tbl_Vendor_Tracker[[#This Row],[Deposit_Paid]]=""),"",tbl_Vendor_Tracker[[#This Row],[Contract_Amt]]-tbl_Vendor_Tracker[[#This Row],[Deposit_Paid]])</f>
        <v/>
      </c>
      <c r="I26" s="12"/>
      <c r="J26" s="12"/>
      <c r="K26" s="1"/>
      <c r="L26" s="1"/>
      <c r="M26" s="1"/>
      <c r="N26" s="1"/>
    </row>
    <row r="27" spans="1:14" ht="14.45" customHeight="1" x14ac:dyDescent="0.4">
      <c r="A27" s="1"/>
      <c r="B27" s="12"/>
      <c r="C27" s="12"/>
      <c r="D27" s="12"/>
      <c r="E27" s="12"/>
      <c r="F27" s="34"/>
      <c r="G27" s="34"/>
      <c r="H27" s="35" t="str">
        <f>IF(OR(tbl_Vendor_Tracker[[#This Row],[Contract_Amt]]="",tbl_Vendor_Tracker[[#This Row],[Deposit_Paid]]=""),"",tbl_Vendor_Tracker[[#This Row],[Contract_Amt]]-tbl_Vendor_Tracker[[#This Row],[Deposit_Paid]])</f>
        <v/>
      </c>
      <c r="I27" s="12"/>
      <c r="J27" s="12"/>
      <c r="K27" s="1"/>
      <c r="L27" s="1"/>
      <c r="M27" s="1"/>
      <c r="N27" s="1"/>
    </row>
    <row r="28" spans="1:14" ht="14.45" customHeight="1" x14ac:dyDescent="0.4">
      <c r="A28" s="1"/>
      <c r="B28" s="12"/>
      <c r="C28" s="12"/>
      <c r="D28" s="12"/>
      <c r="E28" s="12"/>
      <c r="F28" s="34"/>
      <c r="G28" s="34"/>
      <c r="H28" s="35" t="str">
        <f>IF(OR(tbl_Vendor_Tracker[[#This Row],[Contract_Amt]]="",tbl_Vendor_Tracker[[#This Row],[Deposit_Paid]]=""),"",tbl_Vendor_Tracker[[#This Row],[Contract_Amt]]-tbl_Vendor_Tracker[[#This Row],[Deposit_Paid]])</f>
        <v/>
      </c>
      <c r="I28" s="12"/>
      <c r="J28" s="12"/>
      <c r="K28" s="1"/>
      <c r="L28" s="1"/>
      <c r="M28" s="1"/>
      <c r="N28" s="1"/>
    </row>
    <row r="29" spans="1:14" ht="14.45" customHeight="1" x14ac:dyDescent="0.4">
      <c r="A29" s="1"/>
      <c r="B29" s="12"/>
      <c r="C29" s="12"/>
      <c r="D29" s="12"/>
      <c r="E29" s="12"/>
      <c r="F29" s="34"/>
      <c r="G29" s="34"/>
      <c r="H29" s="35" t="str">
        <f>IF(OR(tbl_Vendor_Tracker[[#This Row],[Contract_Amt]]="",tbl_Vendor_Tracker[[#This Row],[Deposit_Paid]]=""),"",tbl_Vendor_Tracker[[#This Row],[Contract_Amt]]-tbl_Vendor_Tracker[[#This Row],[Deposit_Paid]])</f>
        <v/>
      </c>
      <c r="I29" s="12"/>
      <c r="J29" s="12"/>
      <c r="K29" s="1"/>
      <c r="L29" s="1"/>
      <c r="M29" s="1"/>
      <c r="N29" s="1"/>
    </row>
    <row r="30" spans="1:14" ht="14.45" customHeight="1" x14ac:dyDescent="0.4">
      <c r="A30" s="1"/>
      <c r="B30" s="12"/>
      <c r="C30" s="12"/>
      <c r="D30" s="12"/>
      <c r="E30" s="12"/>
      <c r="F30" s="34"/>
      <c r="G30" s="34"/>
      <c r="H30" s="35" t="str">
        <f>IF(OR(tbl_Vendor_Tracker[[#This Row],[Contract_Amt]]="",tbl_Vendor_Tracker[[#This Row],[Deposit_Paid]]=""),"",tbl_Vendor_Tracker[[#This Row],[Contract_Amt]]-tbl_Vendor_Tracker[[#This Row],[Deposit_Paid]])</f>
        <v/>
      </c>
      <c r="I30" s="12"/>
      <c r="J30" s="12"/>
      <c r="K30" s="1"/>
      <c r="L30" s="1"/>
      <c r="M30" s="1"/>
      <c r="N30" s="1"/>
    </row>
    <row r="31" spans="1:14" ht="14.45" customHeight="1" x14ac:dyDescent="0.4">
      <c r="A31" s="1"/>
      <c r="B31" s="12"/>
      <c r="C31" s="12"/>
      <c r="D31" s="12"/>
      <c r="E31" s="12"/>
      <c r="F31" s="34"/>
      <c r="G31" s="34"/>
      <c r="H31" s="35" t="str">
        <f>IF(OR(tbl_Vendor_Tracker[[#This Row],[Contract_Amt]]="",tbl_Vendor_Tracker[[#This Row],[Deposit_Paid]]=""),"",tbl_Vendor_Tracker[[#This Row],[Contract_Amt]]-tbl_Vendor_Tracker[[#This Row],[Deposit_Paid]])</f>
        <v/>
      </c>
      <c r="I31" s="12"/>
      <c r="J31" s="12"/>
      <c r="K31" s="1"/>
      <c r="L31" s="1"/>
      <c r="M31" s="1"/>
      <c r="N31" s="1"/>
    </row>
    <row r="32" spans="1:14" ht="14.45" customHeight="1" x14ac:dyDescent="0.4">
      <c r="A32" s="1"/>
      <c r="B32" s="12"/>
      <c r="C32" s="12"/>
      <c r="D32" s="12"/>
      <c r="E32" s="12"/>
      <c r="F32" s="34"/>
      <c r="G32" s="34"/>
      <c r="H32" s="35" t="str">
        <f>IF(OR(tbl_Vendor_Tracker[[#This Row],[Contract_Amt]]="",tbl_Vendor_Tracker[[#This Row],[Deposit_Paid]]=""),"",tbl_Vendor_Tracker[[#This Row],[Contract_Amt]]-tbl_Vendor_Tracker[[#This Row],[Deposit_Paid]])</f>
        <v/>
      </c>
      <c r="I32" s="12"/>
      <c r="J32" s="12"/>
      <c r="K32" s="1"/>
      <c r="L32" s="1"/>
      <c r="M32" s="1"/>
      <c r="N32" s="1"/>
    </row>
    <row r="33" spans="1:14" ht="14.45" customHeight="1" x14ac:dyDescent="0.4">
      <c r="A33" s="1"/>
      <c r="B33" s="12"/>
      <c r="C33" s="12"/>
      <c r="D33" s="12"/>
      <c r="E33" s="12"/>
      <c r="F33" s="34"/>
      <c r="G33" s="34"/>
      <c r="H33" s="35" t="str">
        <f>IF(OR(tbl_Vendor_Tracker[[#This Row],[Contract_Amt]]="",tbl_Vendor_Tracker[[#This Row],[Deposit_Paid]]=""),"",tbl_Vendor_Tracker[[#This Row],[Contract_Amt]]-tbl_Vendor_Tracker[[#This Row],[Deposit_Paid]])</f>
        <v/>
      </c>
      <c r="I33" s="12"/>
      <c r="J33" s="12"/>
      <c r="K33" s="1"/>
      <c r="L33" s="1"/>
      <c r="M33" s="1"/>
      <c r="N33" s="1"/>
    </row>
    <row r="34" spans="1:14" ht="14.45" customHeight="1" x14ac:dyDescent="0.4">
      <c r="A34" s="1"/>
      <c r="B34" s="12"/>
      <c r="C34" s="12"/>
      <c r="D34" s="12"/>
      <c r="E34" s="12"/>
      <c r="F34" s="34"/>
      <c r="G34" s="34"/>
      <c r="H34" s="35" t="str">
        <f>IF(OR(tbl_Vendor_Tracker[[#This Row],[Contract_Amt]]="",tbl_Vendor_Tracker[[#This Row],[Deposit_Paid]]=""),"",tbl_Vendor_Tracker[[#This Row],[Contract_Amt]]-tbl_Vendor_Tracker[[#This Row],[Deposit_Paid]])</f>
        <v/>
      </c>
      <c r="I34" s="12"/>
      <c r="J34" s="12"/>
      <c r="K34" s="1"/>
      <c r="L34" s="1"/>
      <c r="M34" s="1"/>
      <c r="N34" s="1"/>
    </row>
    <row r="35" spans="1:14" ht="14.45" customHeight="1" x14ac:dyDescent="0.4">
      <c r="A35" s="1"/>
      <c r="B35" s="12"/>
      <c r="C35" s="12"/>
      <c r="D35" s="12"/>
      <c r="E35" s="12"/>
      <c r="F35" s="34"/>
      <c r="G35" s="34"/>
      <c r="H35" s="35" t="str">
        <f>IF(OR(tbl_Vendor_Tracker[[#This Row],[Contract_Amt]]="",tbl_Vendor_Tracker[[#This Row],[Deposit_Paid]]=""),"",tbl_Vendor_Tracker[[#This Row],[Contract_Amt]]-tbl_Vendor_Tracker[[#This Row],[Deposit_Paid]])</f>
        <v/>
      </c>
      <c r="I35" s="12"/>
      <c r="J35" s="12"/>
      <c r="K35" s="1"/>
      <c r="L35" s="1"/>
      <c r="M35" s="1"/>
      <c r="N35" s="1"/>
    </row>
    <row r="36" spans="1:14" ht="14.45" customHeight="1" x14ac:dyDescent="0.4">
      <c r="A36" s="1"/>
      <c r="B36" s="12"/>
      <c r="C36" s="12"/>
      <c r="D36" s="12"/>
      <c r="E36" s="12"/>
      <c r="F36" s="34"/>
      <c r="G36" s="34"/>
      <c r="H36" s="35" t="str">
        <f>IF(OR(tbl_Vendor_Tracker[[#This Row],[Contract_Amt]]="",tbl_Vendor_Tracker[[#This Row],[Deposit_Paid]]=""),"",tbl_Vendor_Tracker[[#This Row],[Contract_Amt]]-tbl_Vendor_Tracker[[#This Row],[Deposit_Paid]])</f>
        <v/>
      </c>
      <c r="I36" s="12"/>
      <c r="J36" s="12"/>
      <c r="K36" s="1"/>
      <c r="L36" s="1"/>
      <c r="M36" s="1"/>
      <c r="N36" s="1"/>
    </row>
    <row r="37" spans="1:14" ht="14.45" customHeight="1" x14ac:dyDescent="0.4">
      <c r="A37" s="1"/>
      <c r="B37" s="12"/>
      <c r="C37" s="12"/>
      <c r="D37" s="12"/>
      <c r="E37" s="12"/>
      <c r="F37" s="34"/>
      <c r="G37" s="34"/>
      <c r="H37" s="35" t="str">
        <f>IF(OR(tbl_Vendor_Tracker[[#This Row],[Contract_Amt]]="",tbl_Vendor_Tracker[[#This Row],[Deposit_Paid]]=""),"",tbl_Vendor_Tracker[[#This Row],[Contract_Amt]]-tbl_Vendor_Tracker[[#This Row],[Deposit_Paid]])</f>
        <v/>
      </c>
      <c r="I37" s="12"/>
      <c r="J37" s="12"/>
      <c r="K37" s="1"/>
      <c r="L37" s="1"/>
      <c r="M37" s="1"/>
      <c r="N37" s="1"/>
    </row>
    <row r="38" spans="1:14" ht="14.45" customHeight="1" x14ac:dyDescent="0.4">
      <c r="A38" s="1"/>
      <c r="B38" s="12"/>
      <c r="C38" s="12"/>
      <c r="D38" s="12"/>
      <c r="E38" s="12"/>
      <c r="F38" s="34"/>
      <c r="G38" s="34"/>
      <c r="H38" s="35" t="str">
        <f>IF(OR(tbl_Vendor_Tracker[[#This Row],[Contract_Amt]]="",tbl_Vendor_Tracker[[#This Row],[Deposit_Paid]]=""),"",tbl_Vendor_Tracker[[#This Row],[Contract_Amt]]-tbl_Vendor_Tracker[[#This Row],[Deposit_Paid]])</f>
        <v/>
      </c>
      <c r="I38" s="12"/>
      <c r="J38" s="12"/>
      <c r="K38" s="1"/>
      <c r="L38" s="1"/>
      <c r="M38" s="1"/>
      <c r="N38" s="1"/>
    </row>
    <row r="39" spans="1:14" ht="14.45" customHeight="1" x14ac:dyDescent="0.4">
      <c r="A39" s="1"/>
      <c r="B39" s="12"/>
      <c r="C39" s="12"/>
      <c r="D39" s="12"/>
      <c r="E39" s="12"/>
      <c r="F39" s="34"/>
      <c r="G39" s="34"/>
      <c r="H39" s="35" t="str">
        <f>IF(OR(tbl_Vendor_Tracker[[#This Row],[Contract_Amt]]="",tbl_Vendor_Tracker[[#This Row],[Deposit_Paid]]=""),"",tbl_Vendor_Tracker[[#This Row],[Contract_Amt]]-tbl_Vendor_Tracker[[#This Row],[Deposit_Paid]])</f>
        <v/>
      </c>
      <c r="I39" s="12"/>
      <c r="J39" s="12"/>
      <c r="K39" s="1"/>
      <c r="L39" s="1"/>
      <c r="M39" s="1"/>
      <c r="N39" s="1"/>
    </row>
    <row r="40" spans="1:14" ht="14.45" customHeight="1" x14ac:dyDescent="0.4">
      <c r="A40" s="1"/>
      <c r="B40" s="12"/>
      <c r="C40" s="12"/>
      <c r="D40" s="12"/>
      <c r="E40" s="12"/>
      <c r="F40" s="34"/>
      <c r="G40" s="34"/>
      <c r="H40" s="35" t="str">
        <f>IF(OR(tbl_Vendor_Tracker[[#This Row],[Contract_Amt]]="",tbl_Vendor_Tracker[[#This Row],[Deposit_Paid]]=""),"",tbl_Vendor_Tracker[[#This Row],[Contract_Amt]]-tbl_Vendor_Tracker[[#This Row],[Deposit_Paid]])</f>
        <v/>
      </c>
      <c r="I40" s="12"/>
      <c r="J40" s="12"/>
      <c r="K40" s="1"/>
      <c r="L40" s="1"/>
      <c r="M40" s="1"/>
      <c r="N40" s="1"/>
    </row>
    <row r="41" spans="1:14" ht="14.45" customHeight="1" x14ac:dyDescent="0.4">
      <c r="A41" s="1"/>
      <c r="B41" s="12"/>
      <c r="C41" s="12"/>
      <c r="D41" s="12"/>
      <c r="E41" s="12"/>
      <c r="F41" s="34"/>
      <c r="G41" s="34"/>
      <c r="H41" s="35" t="str">
        <f>IF(OR(tbl_Vendor_Tracker[[#This Row],[Contract_Amt]]="",tbl_Vendor_Tracker[[#This Row],[Deposit_Paid]]=""),"",tbl_Vendor_Tracker[[#This Row],[Contract_Amt]]-tbl_Vendor_Tracker[[#This Row],[Deposit_Paid]])</f>
        <v/>
      </c>
      <c r="I41" s="12"/>
      <c r="J41" s="12"/>
      <c r="K41" s="1"/>
      <c r="L41" s="1"/>
      <c r="M41" s="1"/>
      <c r="N41" s="1"/>
    </row>
    <row r="42" spans="1:14" ht="14.45" customHeight="1" x14ac:dyDescent="0.4">
      <c r="A42" s="1"/>
      <c r="B42" s="12"/>
      <c r="C42" s="12"/>
      <c r="D42" s="12"/>
      <c r="E42" s="12"/>
      <c r="F42" s="34"/>
      <c r="G42" s="34"/>
      <c r="H42" s="35" t="str">
        <f>IF(OR(tbl_Vendor_Tracker[[#This Row],[Contract_Amt]]="",tbl_Vendor_Tracker[[#This Row],[Deposit_Paid]]=""),"",tbl_Vendor_Tracker[[#This Row],[Contract_Amt]]-tbl_Vendor_Tracker[[#This Row],[Deposit_Paid]])</f>
        <v/>
      </c>
      <c r="I42" s="12"/>
      <c r="J42" s="12"/>
      <c r="K42" s="1"/>
      <c r="L42" s="1"/>
      <c r="M42" s="1"/>
      <c r="N42" s="1"/>
    </row>
    <row r="43" spans="1:14" ht="14.45" customHeight="1" x14ac:dyDescent="0.4">
      <c r="A43" s="1"/>
      <c r="B43" s="12"/>
      <c r="C43" s="12"/>
      <c r="D43" s="12"/>
      <c r="E43" s="12"/>
      <c r="F43" s="34"/>
      <c r="G43" s="34"/>
      <c r="H43" s="35" t="str">
        <f>IF(OR(tbl_Vendor_Tracker[[#This Row],[Contract_Amt]]="",tbl_Vendor_Tracker[[#This Row],[Deposit_Paid]]=""),"",tbl_Vendor_Tracker[[#This Row],[Contract_Amt]]-tbl_Vendor_Tracker[[#This Row],[Deposit_Paid]])</f>
        <v/>
      </c>
      <c r="I43" s="12"/>
      <c r="J43" s="12"/>
      <c r="K43" s="1"/>
      <c r="L43" s="1"/>
      <c r="M43" s="1"/>
      <c r="N43" s="1"/>
    </row>
    <row r="44" spans="1:14" ht="14.45" customHeight="1" x14ac:dyDescent="0.4">
      <c r="A44" s="1"/>
      <c r="B44" s="12"/>
      <c r="C44" s="12"/>
      <c r="D44" s="12"/>
      <c r="E44" s="12"/>
      <c r="F44" s="34"/>
      <c r="G44" s="34"/>
      <c r="H44" s="35" t="str">
        <f>IF(OR(tbl_Vendor_Tracker[[#This Row],[Contract_Amt]]="",tbl_Vendor_Tracker[[#This Row],[Deposit_Paid]]=""),"",tbl_Vendor_Tracker[[#This Row],[Contract_Amt]]-tbl_Vendor_Tracker[[#This Row],[Deposit_Paid]])</f>
        <v/>
      </c>
      <c r="I44" s="12"/>
      <c r="J44" s="12"/>
      <c r="K44" s="1"/>
      <c r="L44" s="1"/>
      <c r="M44" s="1"/>
      <c r="N44" s="1"/>
    </row>
    <row r="45" spans="1:14" ht="14.45" customHeight="1" x14ac:dyDescent="0.4">
      <c r="A45" s="1"/>
      <c r="B45" s="12"/>
      <c r="C45" s="12"/>
      <c r="D45" s="12"/>
      <c r="E45" s="12"/>
      <c r="F45" s="34"/>
      <c r="G45" s="34"/>
      <c r="H45" s="35" t="str">
        <f>IF(OR(tbl_Vendor_Tracker[[#This Row],[Contract_Amt]]="",tbl_Vendor_Tracker[[#This Row],[Deposit_Paid]]=""),"",tbl_Vendor_Tracker[[#This Row],[Contract_Amt]]-tbl_Vendor_Tracker[[#This Row],[Deposit_Paid]])</f>
        <v/>
      </c>
      <c r="I45" s="12"/>
      <c r="J45" s="12"/>
      <c r="K45" s="1"/>
      <c r="L45" s="1"/>
      <c r="M45" s="1"/>
      <c r="N45" s="1"/>
    </row>
    <row r="46" spans="1:14" ht="14.45" customHeight="1" x14ac:dyDescent="0.4">
      <c r="A46" s="1"/>
      <c r="B46" s="12"/>
      <c r="C46" s="12"/>
      <c r="D46" s="12"/>
      <c r="E46" s="12"/>
      <c r="F46" s="34"/>
      <c r="G46" s="34"/>
      <c r="H46" s="35" t="str">
        <f>IF(OR(tbl_Vendor_Tracker[[#This Row],[Contract_Amt]]="",tbl_Vendor_Tracker[[#This Row],[Deposit_Paid]]=""),"",tbl_Vendor_Tracker[[#This Row],[Contract_Amt]]-tbl_Vendor_Tracker[[#This Row],[Deposit_Paid]])</f>
        <v/>
      </c>
      <c r="I46" s="12"/>
      <c r="J46" s="12"/>
      <c r="K46" s="1"/>
      <c r="L46" s="1"/>
      <c r="M46" s="1"/>
      <c r="N46" s="1"/>
    </row>
    <row r="47" spans="1:14" ht="14.45" customHeight="1" x14ac:dyDescent="0.4">
      <c r="A47" s="1"/>
      <c r="B47" s="12"/>
      <c r="C47" s="12"/>
      <c r="D47" s="12"/>
      <c r="E47" s="12"/>
      <c r="F47" s="34"/>
      <c r="G47" s="34"/>
      <c r="H47" s="35" t="str">
        <f>IF(OR(tbl_Vendor_Tracker[[#This Row],[Contract_Amt]]="",tbl_Vendor_Tracker[[#This Row],[Deposit_Paid]]=""),"",tbl_Vendor_Tracker[[#This Row],[Contract_Amt]]-tbl_Vendor_Tracker[[#This Row],[Deposit_Paid]])</f>
        <v/>
      </c>
      <c r="I47" s="12"/>
      <c r="J47" s="12"/>
      <c r="K47" s="1"/>
      <c r="L47" s="1"/>
      <c r="M47" s="1"/>
      <c r="N47" s="1"/>
    </row>
    <row r="48" spans="1:14" ht="14.45" customHeight="1" x14ac:dyDescent="0.4">
      <c r="A48" s="1"/>
      <c r="B48" s="12"/>
      <c r="C48" s="12"/>
      <c r="D48" s="12"/>
      <c r="E48" s="12"/>
      <c r="F48" s="34"/>
      <c r="G48" s="34"/>
      <c r="H48" s="35" t="str">
        <f>IF(OR(tbl_Vendor_Tracker[[#This Row],[Contract_Amt]]="",tbl_Vendor_Tracker[[#This Row],[Deposit_Paid]]=""),"",tbl_Vendor_Tracker[[#This Row],[Contract_Amt]]-tbl_Vendor_Tracker[[#This Row],[Deposit_Paid]])</f>
        <v/>
      </c>
      <c r="I48" s="12"/>
      <c r="J48" s="12"/>
      <c r="K48" s="1"/>
      <c r="L48" s="1"/>
      <c r="M48" s="1"/>
      <c r="N48" s="1"/>
    </row>
    <row r="49" spans="1:14" ht="14.45" customHeight="1" x14ac:dyDescent="0.4">
      <c r="A49" s="1"/>
      <c r="B49" s="12"/>
      <c r="C49" s="12"/>
      <c r="D49" s="12"/>
      <c r="E49" s="12"/>
      <c r="F49" s="34"/>
      <c r="G49" s="34"/>
      <c r="H49" s="35" t="str">
        <f>IF(OR(tbl_Vendor_Tracker[[#This Row],[Contract_Amt]]="",tbl_Vendor_Tracker[[#This Row],[Deposit_Paid]]=""),"",tbl_Vendor_Tracker[[#This Row],[Contract_Amt]]-tbl_Vendor_Tracker[[#This Row],[Deposit_Paid]])</f>
        <v/>
      </c>
      <c r="I49" s="12"/>
      <c r="J49" s="12"/>
      <c r="K49" s="1"/>
      <c r="L49" s="1"/>
      <c r="M49" s="1"/>
      <c r="N49" s="1"/>
    </row>
    <row r="50" spans="1:14" ht="14.45" customHeight="1" x14ac:dyDescent="0.4">
      <c r="A50" s="1"/>
      <c r="B50" s="12"/>
      <c r="C50" s="12"/>
      <c r="D50" s="12"/>
      <c r="E50" s="12"/>
      <c r="F50" s="34"/>
      <c r="G50" s="34"/>
      <c r="H50" s="35" t="str">
        <f>IF(OR(tbl_Vendor_Tracker[[#This Row],[Contract_Amt]]="",tbl_Vendor_Tracker[[#This Row],[Deposit_Paid]]=""),"",tbl_Vendor_Tracker[[#This Row],[Contract_Amt]]-tbl_Vendor_Tracker[[#This Row],[Deposit_Paid]])</f>
        <v/>
      </c>
      <c r="I50" s="12"/>
      <c r="J50" s="12"/>
      <c r="K50" s="1"/>
      <c r="L50" s="1"/>
      <c r="M50" s="1"/>
      <c r="N50" s="1"/>
    </row>
    <row r="51" spans="1:14" ht="14.45" customHeight="1" x14ac:dyDescent="0.4">
      <c r="A51" s="1"/>
      <c r="B51" s="12"/>
      <c r="C51" s="12"/>
      <c r="D51" s="12"/>
      <c r="E51" s="12"/>
      <c r="F51" s="34"/>
      <c r="G51" s="34"/>
      <c r="H51" s="35" t="str">
        <f>IF(OR(tbl_Vendor_Tracker[[#This Row],[Contract_Amt]]="",tbl_Vendor_Tracker[[#This Row],[Deposit_Paid]]=""),"",tbl_Vendor_Tracker[[#This Row],[Contract_Amt]]-tbl_Vendor_Tracker[[#This Row],[Deposit_Paid]])</f>
        <v/>
      </c>
      <c r="I51" s="12"/>
      <c r="J51" s="12"/>
      <c r="K51" s="1"/>
      <c r="L51" s="1"/>
      <c r="M51" s="1"/>
      <c r="N51" s="1"/>
    </row>
    <row r="52" spans="1:14" ht="14.45" customHeight="1" x14ac:dyDescent="0.4">
      <c r="A52" s="1"/>
      <c r="B52" s="12"/>
      <c r="C52" s="12"/>
      <c r="D52" s="12"/>
      <c r="E52" s="12"/>
      <c r="F52" s="34"/>
      <c r="G52" s="34"/>
      <c r="H52" s="35" t="str">
        <f>IF(OR(tbl_Vendor_Tracker[[#This Row],[Contract_Amt]]="",tbl_Vendor_Tracker[[#This Row],[Deposit_Paid]]=""),"",tbl_Vendor_Tracker[[#This Row],[Contract_Amt]]-tbl_Vendor_Tracker[[#This Row],[Deposit_Paid]])</f>
        <v/>
      </c>
      <c r="I52" s="12"/>
      <c r="J52" s="12"/>
      <c r="K52" s="1"/>
      <c r="L52" s="1"/>
      <c r="M52" s="1"/>
      <c r="N52" s="1"/>
    </row>
    <row r="53" spans="1:14" ht="14.45" customHeight="1" x14ac:dyDescent="0.4">
      <c r="A53" s="1"/>
      <c r="B53" s="12"/>
      <c r="C53" s="12"/>
      <c r="D53" s="12"/>
      <c r="E53" s="12"/>
      <c r="F53" s="34"/>
      <c r="G53" s="34"/>
      <c r="H53" s="35" t="str">
        <f>IF(OR(tbl_Vendor_Tracker[[#This Row],[Contract_Amt]]="",tbl_Vendor_Tracker[[#This Row],[Deposit_Paid]]=""),"",tbl_Vendor_Tracker[[#This Row],[Contract_Amt]]-tbl_Vendor_Tracker[[#This Row],[Deposit_Paid]])</f>
        <v/>
      </c>
      <c r="I53" s="12"/>
      <c r="J53" s="12"/>
      <c r="K53" s="1"/>
      <c r="L53" s="1"/>
      <c r="M53" s="1"/>
      <c r="N53" s="1"/>
    </row>
    <row r="54" spans="1:14" ht="14.45" customHeight="1" x14ac:dyDescent="0.4">
      <c r="A54" s="1"/>
      <c r="B54" s="12"/>
      <c r="C54" s="12"/>
      <c r="D54" s="12"/>
      <c r="E54" s="12"/>
      <c r="F54" s="34"/>
      <c r="G54" s="34"/>
      <c r="H54" s="35" t="str">
        <f>IF(OR(tbl_Vendor_Tracker[[#This Row],[Contract_Amt]]="",tbl_Vendor_Tracker[[#This Row],[Deposit_Paid]]=""),"",tbl_Vendor_Tracker[[#This Row],[Contract_Amt]]-tbl_Vendor_Tracker[[#This Row],[Deposit_Paid]])</f>
        <v/>
      </c>
      <c r="I54" s="12"/>
      <c r="J54" s="12"/>
      <c r="K54" s="1"/>
      <c r="L54" s="1"/>
      <c r="M54" s="1"/>
      <c r="N54" s="1"/>
    </row>
    <row r="55" spans="1:14" ht="14.45" customHeight="1" x14ac:dyDescent="0.4">
      <c r="A55" s="1"/>
      <c r="B55" s="12"/>
      <c r="C55" s="12"/>
      <c r="D55" s="12"/>
      <c r="E55" s="12"/>
      <c r="F55" s="34"/>
      <c r="G55" s="34"/>
      <c r="H55" s="35" t="str">
        <f>IF(OR(tbl_Vendor_Tracker[[#This Row],[Contract_Amt]]="",tbl_Vendor_Tracker[[#This Row],[Deposit_Paid]]=""),"",tbl_Vendor_Tracker[[#This Row],[Contract_Amt]]-tbl_Vendor_Tracker[[#This Row],[Deposit_Paid]])</f>
        <v/>
      </c>
      <c r="I55" s="12"/>
      <c r="J55" s="12"/>
      <c r="K55" s="1"/>
      <c r="L55" s="1"/>
      <c r="M55" s="1"/>
      <c r="N55" s="1"/>
    </row>
    <row r="56" spans="1:14" ht="14.45" customHeight="1" x14ac:dyDescent="0.4">
      <c r="A56" s="1"/>
      <c r="B56" s="12"/>
      <c r="C56" s="12"/>
      <c r="D56" s="12"/>
      <c r="E56" s="12"/>
      <c r="F56" s="34"/>
      <c r="G56" s="34"/>
      <c r="H56" s="35" t="str">
        <f>IF(OR(tbl_Vendor_Tracker[[#This Row],[Contract_Amt]]="",tbl_Vendor_Tracker[[#This Row],[Deposit_Paid]]=""),"",tbl_Vendor_Tracker[[#This Row],[Contract_Amt]]-tbl_Vendor_Tracker[[#This Row],[Deposit_Paid]])</f>
        <v/>
      </c>
      <c r="I56" s="12"/>
      <c r="J56" s="12"/>
      <c r="K56" s="1"/>
      <c r="L56" s="1"/>
      <c r="M56" s="1"/>
      <c r="N56" s="1"/>
    </row>
    <row r="57" spans="1:14" ht="14.45" customHeight="1" x14ac:dyDescent="0.4">
      <c r="A57" s="1"/>
      <c r="B57" s="12"/>
      <c r="C57" s="12"/>
      <c r="D57" s="12"/>
      <c r="E57" s="12"/>
      <c r="F57" s="34"/>
      <c r="G57" s="34"/>
      <c r="H57" s="35" t="str">
        <f>IF(OR(tbl_Vendor_Tracker[[#This Row],[Contract_Amt]]="",tbl_Vendor_Tracker[[#This Row],[Deposit_Paid]]=""),"",tbl_Vendor_Tracker[[#This Row],[Contract_Amt]]-tbl_Vendor_Tracker[[#This Row],[Deposit_Paid]])</f>
        <v/>
      </c>
      <c r="I57" s="12"/>
      <c r="J57" s="12"/>
      <c r="K57" s="1"/>
      <c r="L57" s="1"/>
      <c r="M57" s="1"/>
      <c r="N57" s="1"/>
    </row>
    <row r="58" spans="1:14" ht="14.45" customHeight="1" x14ac:dyDescent="0.4">
      <c r="A58" s="1"/>
      <c r="B58" s="12"/>
      <c r="C58" s="12"/>
      <c r="D58" s="12"/>
      <c r="E58" s="12"/>
      <c r="F58" s="34"/>
      <c r="G58" s="34"/>
      <c r="H58" s="35" t="str">
        <f>IF(OR(tbl_Vendor_Tracker[[#This Row],[Contract_Amt]]="",tbl_Vendor_Tracker[[#This Row],[Deposit_Paid]]=""),"",tbl_Vendor_Tracker[[#This Row],[Contract_Amt]]-tbl_Vendor_Tracker[[#This Row],[Deposit_Paid]])</f>
        <v/>
      </c>
      <c r="I58" s="12"/>
      <c r="J58" s="12"/>
      <c r="K58" s="1"/>
      <c r="L58" s="1"/>
      <c r="M58" s="1"/>
      <c r="N58" s="1"/>
    </row>
    <row r="59" spans="1:14" ht="14.45" customHeight="1" x14ac:dyDescent="0.4">
      <c r="A59" s="1"/>
      <c r="B59" s="12"/>
      <c r="C59" s="12"/>
      <c r="D59" s="12"/>
      <c r="E59" s="12"/>
      <c r="F59" s="34"/>
      <c r="G59" s="34"/>
      <c r="H59" s="35" t="str">
        <f>IF(OR(tbl_Vendor_Tracker[[#This Row],[Contract_Amt]]="",tbl_Vendor_Tracker[[#This Row],[Deposit_Paid]]=""),"",tbl_Vendor_Tracker[[#This Row],[Contract_Amt]]-tbl_Vendor_Tracker[[#This Row],[Deposit_Paid]])</f>
        <v/>
      </c>
      <c r="I59" s="12"/>
      <c r="J59" s="12"/>
      <c r="K59" s="1"/>
      <c r="L59" s="1"/>
      <c r="M59" s="1"/>
      <c r="N59" s="1"/>
    </row>
    <row r="60" spans="1:14" ht="14.45" customHeight="1" x14ac:dyDescent="0.4">
      <c r="A60" s="1"/>
      <c r="B60" s="12"/>
      <c r="C60" s="12"/>
      <c r="D60" s="12"/>
      <c r="E60" s="12"/>
      <c r="F60" s="34"/>
      <c r="G60" s="34"/>
      <c r="H60" s="35" t="str">
        <f>IF(OR(tbl_Vendor_Tracker[[#This Row],[Contract_Amt]]="",tbl_Vendor_Tracker[[#This Row],[Deposit_Paid]]=""),"",tbl_Vendor_Tracker[[#This Row],[Contract_Amt]]-tbl_Vendor_Tracker[[#This Row],[Deposit_Paid]])</f>
        <v/>
      </c>
      <c r="I60" s="12"/>
      <c r="J60" s="12"/>
      <c r="K60" s="1"/>
      <c r="L60" s="1"/>
      <c r="M60" s="1"/>
      <c r="N60" s="1"/>
    </row>
    <row r="61" spans="1:14" ht="14.45" customHeight="1" x14ac:dyDescent="0.4">
      <c r="A61" s="1"/>
      <c r="B61" s="12"/>
      <c r="C61" s="12"/>
      <c r="D61" s="12"/>
      <c r="E61" s="12"/>
      <c r="F61" s="34"/>
      <c r="G61" s="34"/>
      <c r="H61" s="35" t="str">
        <f>IF(OR(tbl_Vendor_Tracker[[#This Row],[Contract_Amt]]="",tbl_Vendor_Tracker[[#This Row],[Deposit_Paid]]=""),"",tbl_Vendor_Tracker[[#This Row],[Contract_Amt]]-tbl_Vendor_Tracker[[#This Row],[Deposit_Paid]])</f>
        <v/>
      </c>
      <c r="I61" s="12"/>
      <c r="J61" s="12"/>
      <c r="K61" s="1"/>
      <c r="L61" s="1"/>
      <c r="M61" s="1"/>
      <c r="N61" s="1"/>
    </row>
    <row r="62" spans="1:14" ht="14.45" customHeight="1" x14ac:dyDescent="0.4">
      <c r="A62" s="1"/>
      <c r="B62" s="12"/>
      <c r="C62" s="12"/>
      <c r="D62" s="12"/>
      <c r="E62" s="12"/>
      <c r="F62" s="34"/>
      <c r="G62" s="34"/>
      <c r="H62" s="35" t="str">
        <f>IF(OR(tbl_Vendor_Tracker[[#This Row],[Contract_Amt]]="",tbl_Vendor_Tracker[[#This Row],[Deposit_Paid]]=""),"",tbl_Vendor_Tracker[[#This Row],[Contract_Amt]]-tbl_Vendor_Tracker[[#This Row],[Deposit_Paid]])</f>
        <v/>
      </c>
      <c r="I62" s="12"/>
      <c r="J62" s="12"/>
      <c r="K62" s="1"/>
      <c r="L62" s="1"/>
      <c r="M62" s="1"/>
      <c r="N62" s="1"/>
    </row>
    <row r="63" spans="1:14" ht="14.45" customHeight="1" x14ac:dyDescent="0.4">
      <c r="A63" s="1"/>
      <c r="B63" s="12"/>
      <c r="C63" s="12"/>
      <c r="D63" s="12"/>
      <c r="E63" s="12"/>
      <c r="F63" s="34"/>
      <c r="G63" s="34"/>
      <c r="H63" s="35" t="str">
        <f>IF(OR(tbl_Vendor_Tracker[[#This Row],[Contract_Amt]]="",tbl_Vendor_Tracker[[#This Row],[Deposit_Paid]]=""),"",tbl_Vendor_Tracker[[#This Row],[Contract_Amt]]-tbl_Vendor_Tracker[[#This Row],[Deposit_Paid]])</f>
        <v/>
      </c>
      <c r="I63" s="12"/>
      <c r="J63" s="12"/>
      <c r="K63" s="1"/>
      <c r="L63" s="1"/>
      <c r="M63" s="1"/>
      <c r="N63" s="1"/>
    </row>
    <row r="64" spans="1:14" ht="14.45" customHeight="1" x14ac:dyDescent="0.4">
      <c r="A64" s="1"/>
      <c r="B64" s="12"/>
      <c r="C64" s="12"/>
      <c r="D64" s="12"/>
      <c r="E64" s="12"/>
      <c r="F64" s="34"/>
      <c r="G64" s="34"/>
      <c r="H64" s="35" t="str">
        <f>IF(OR(tbl_Vendor_Tracker[[#This Row],[Contract_Amt]]="",tbl_Vendor_Tracker[[#This Row],[Deposit_Paid]]=""),"",tbl_Vendor_Tracker[[#This Row],[Contract_Amt]]-tbl_Vendor_Tracker[[#This Row],[Deposit_Paid]])</f>
        <v/>
      </c>
      <c r="I64" s="12"/>
      <c r="J64" s="12"/>
      <c r="K64" s="1"/>
      <c r="L64" s="1"/>
      <c r="M64" s="1"/>
      <c r="N64" s="1"/>
    </row>
    <row r="65" spans="1:14" ht="14.45" customHeight="1" x14ac:dyDescent="0.4">
      <c r="A65" s="1"/>
      <c r="B65" s="12"/>
      <c r="C65" s="12"/>
      <c r="D65" s="12"/>
      <c r="E65" s="12"/>
      <c r="F65" s="34"/>
      <c r="G65" s="34"/>
      <c r="H65" s="35" t="str">
        <f>IF(OR(tbl_Vendor_Tracker[[#This Row],[Contract_Amt]]="",tbl_Vendor_Tracker[[#This Row],[Deposit_Paid]]=""),"",tbl_Vendor_Tracker[[#This Row],[Contract_Amt]]-tbl_Vendor_Tracker[[#This Row],[Deposit_Paid]])</f>
        <v/>
      </c>
      <c r="I65" s="12"/>
      <c r="J65" s="12"/>
      <c r="K65" s="1"/>
      <c r="L65" s="1"/>
      <c r="M65" s="1"/>
      <c r="N65" s="1"/>
    </row>
    <row r="66" spans="1:14" ht="14.45" customHeight="1" x14ac:dyDescent="0.4">
      <c r="A66" s="1"/>
      <c r="B66" s="12"/>
      <c r="C66" s="12"/>
      <c r="D66" s="12"/>
      <c r="E66" s="12"/>
      <c r="F66" s="34"/>
      <c r="G66" s="34"/>
      <c r="H66" s="35" t="str">
        <f>IF(OR(tbl_Vendor_Tracker[[#This Row],[Contract_Amt]]="",tbl_Vendor_Tracker[[#This Row],[Deposit_Paid]]=""),"",tbl_Vendor_Tracker[[#This Row],[Contract_Amt]]-tbl_Vendor_Tracker[[#This Row],[Deposit_Paid]])</f>
        <v/>
      </c>
      <c r="I66" s="12"/>
      <c r="J66" s="12"/>
      <c r="K66" s="1"/>
      <c r="L66" s="1"/>
      <c r="M66" s="1"/>
      <c r="N66" s="1"/>
    </row>
    <row r="67" spans="1:14" ht="14.45" customHeight="1" x14ac:dyDescent="0.4">
      <c r="A67" s="1"/>
      <c r="B67" s="12"/>
      <c r="C67" s="12"/>
      <c r="D67" s="12"/>
      <c r="E67" s="12"/>
      <c r="F67" s="34"/>
      <c r="G67" s="34"/>
      <c r="H67" s="35" t="str">
        <f>IF(OR(tbl_Vendor_Tracker[[#This Row],[Contract_Amt]]="",tbl_Vendor_Tracker[[#This Row],[Deposit_Paid]]=""),"",tbl_Vendor_Tracker[[#This Row],[Contract_Amt]]-tbl_Vendor_Tracker[[#This Row],[Deposit_Paid]])</f>
        <v/>
      </c>
      <c r="I67" s="12"/>
      <c r="J67" s="12"/>
      <c r="K67" s="1"/>
      <c r="L67" s="1"/>
      <c r="M67" s="1"/>
      <c r="N67" s="1"/>
    </row>
    <row r="68" spans="1:14" ht="14.45" customHeight="1" x14ac:dyDescent="0.4">
      <c r="A68" s="1"/>
      <c r="B68" s="12"/>
      <c r="C68" s="12"/>
      <c r="D68" s="12"/>
      <c r="E68" s="12"/>
      <c r="F68" s="34"/>
      <c r="G68" s="34"/>
      <c r="H68" s="35" t="str">
        <f>IF(OR(tbl_Vendor_Tracker[[#This Row],[Contract_Amt]]="",tbl_Vendor_Tracker[[#This Row],[Deposit_Paid]]=""),"",tbl_Vendor_Tracker[[#This Row],[Contract_Amt]]-tbl_Vendor_Tracker[[#This Row],[Deposit_Paid]])</f>
        <v/>
      </c>
      <c r="I68" s="12"/>
      <c r="J68" s="12"/>
      <c r="K68" s="1"/>
      <c r="L68" s="1"/>
      <c r="M68" s="1"/>
      <c r="N68" s="1"/>
    </row>
    <row r="69" spans="1:14" ht="14.45" customHeight="1" x14ac:dyDescent="0.4">
      <c r="A69" s="1"/>
      <c r="B69" s="12"/>
      <c r="C69" s="12"/>
      <c r="D69" s="12"/>
      <c r="E69" s="12"/>
      <c r="F69" s="34"/>
      <c r="G69" s="34"/>
      <c r="H69" s="35" t="str">
        <f>IF(OR(tbl_Vendor_Tracker[[#This Row],[Contract_Amt]]="",tbl_Vendor_Tracker[[#This Row],[Deposit_Paid]]=""),"",tbl_Vendor_Tracker[[#This Row],[Contract_Amt]]-tbl_Vendor_Tracker[[#This Row],[Deposit_Paid]])</f>
        <v/>
      </c>
      <c r="I69" s="12"/>
      <c r="J69" s="12"/>
      <c r="K69" s="1"/>
      <c r="L69" s="1"/>
      <c r="M69" s="1"/>
      <c r="N69" s="1"/>
    </row>
    <row r="70" spans="1:14" ht="14.45" customHeight="1" x14ac:dyDescent="0.4">
      <c r="A70" s="1"/>
      <c r="B70" s="12"/>
      <c r="C70" s="12"/>
      <c r="D70" s="12"/>
      <c r="E70" s="12"/>
      <c r="F70" s="34"/>
      <c r="G70" s="34"/>
      <c r="H70" s="35" t="str">
        <f>IF(OR(tbl_Vendor_Tracker[[#This Row],[Contract_Amt]]="",tbl_Vendor_Tracker[[#This Row],[Deposit_Paid]]=""),"",tbl_Vendor_Tracker[[#This Row],[Contract_Amt]]-tbl_Vendor_Tracker[[#This Row],[Deposit_Paid]])</f>
        <v/>
      </c>
      <c r="I70" s="12"/>
      <c r="J70" s="12"/>
      <c r="K70" s="1"/>
      <c r="L70" s="1"/>
      <c r="M70" s="1"/>
      <c r="N70" s="1"/>
    </row>
    <row r="71" spans="1:14" ht="14.45" customHeight="1" x14ac:dyDescent="0.4">
      <c r="A71" s="1"/>
      <c r="B71" s="12"/>
      <c r="C71" s="12"/>
      <c r="D71" s="12"/>
      <c r="E71" s="12"/>
      <c r="F71" s="34"/>
      <c r="G71" s="34"/>
      <c r="H71" s="35" t="str">
        <f>IF(OR(tbl_Vendor_Tracker[[#This Row],[Contract_Amt]]="",tbl_Vendor_Tracker[[#This Row],[Deposit_Paid]]=""),"",tbl_Vendor_Tracker[[#This Row],[Contract_Amt]]-tbl_Vendor_Tracker[[#This Row],[Deposit_Paid]])</f>
        <v/>
      </c>
      <c r="I71" s="12"/>
      <c r="J71" s="12"/>
      <c r="K71" s="1"/>
      <c r="L71" s="1"/>
      <c r="M71" s="1"/>
      <c r="N71" s="1"/>
    </row>
    <row r="72" spans="1:14" ht="14.45" customHeight="1" x14ac:dyDescent="0.4">
      <c r="A72" s="1"/>
      <c r="B72" s="12"/>
      <c r="C72" s="12"/>
      <c r="D72" s="12"/>
      <c r="E72" s="12"/>
      <c r="F72" s="34"/>
      <c r="G72" s="34"/>
      <c r="H72" s="35" t="str">
        <f>IF(OR(tbl_Vendor_Tracker[[#This Row],[Contract_Amt]]="",tbl_Vendor_Tracker[[#This Row],[Deposit_Paid]]=""),"",tbl_Vendor_Tracker[[#This Row],[Contract_Amt]]-tbl_Vendor_Tracker[[#This Row],[Deposit_Paid]])</f>
        <v/>
      </c>
      <c r="I72" s="12"/>
      <c r="J72" s="12"/>
      <c r="K72" s="1"/>
      <c r="L72" s="1"/>
      <c r="M72" s="1"/>
      <c r="N72" s="1"/>
    </row>
    <row r="73" spans="1:14" ht="14.45" customHeight="1" x14ac:dyDescent="0.4">
      <c r="A73" s="1"/>
      <c r="B73" s="12"/>
      <c r="C73" s="12"/>
      <c r="D73" s="12"/>
      <c r="E73" s="12"/>
      <c r="F73" s="34"/>
      <c r="G73" s="34"/>
      <c r="H73" s="35" t="str">
        <f>IF(OR(tbl_Vendor_Tracker[[#This Row],[Contract_Amt]]="",tbl_Vendor_Tracker[[#This Row],[Deposit_Paid]]=""),"",tbl_Vendor_Tracker[[#This Row],[Contract_Amt]]-tbl_Vendor_Tracker[[#This Row],[Deposit_Paid]])</f>
        <v/>
      </c>
      <c r="I73" s="12"/>
      <c r="J73" s="12"/>
      <c r="K73" s="1"/>
      <c r="L73" s="1"/>
      <c r="M73" s="1"/>
      <c r="N73" s="1"/>
    </row>
    <row r="74" spans="1:14" ht="14.45" customHeight="1" x14ac:dyDescent="0.4">
      <c r="A74" s="1"/>
      <c r="B74" s="12"/>
      <c r="C74" s="12"/>
      <c r="D74" s="12"/>
      <c r="E74" s="12"/>
      <c r="F74" s="34"/>
      <c r="G74" s="34"/>
      <c r="H74" s="35" t="str">
        <f>IF(OR(tbl_Vendor_Tracker[[#This Row],[Contract_Amt]]="",tbl_Vendor_Tracker[[#This Row],[Deposit_Paid]]=""),"",tbl_Vendor_Tracker[[#This Row],[Contract_Amt]]-tbl_Vendor_Tracker[[#This Row],[Deposit_Paid]])</f>
        <v/>
      </c>
      <c r="I74" s="12"/>
      <c r="J74" s="12"/>
      <c r="K74" s="1"/>
      <c r="L74" s="1"/>
      <c r="M74" s="1"/>
      <c r="N74" s="1"/>
    </row>
    <row r="75" spans="1:14" ht="14.45" customHeight="1" x14ac:dyDescent="0.4">
      <c r="A75" s="1"/>
      <c r="B75" s="12"/>
      <c r="C75" s="12"/>
      <c r="D75" s="12"/>
      <c r="E75" s="12"/>
      <c r="F75" s="34"/>
      <c r="G75" s="34"/>
      <c r="H75" s="35" t="str">
        <f>IF(OR(tbl_Vendor_Tracker[[#This Row],[Contract_Amt]]="",tbl_Vendor_Tracker[[#This Row],[Deposit_Paid]]=""),"",tbl_Vendor_Tracker[[#This Row],[Contract_Amt]]-tbl_Vendor_Tracker[[#This Row],[Deposit_Paid]])</f>
        <v/>
      </c>
      <c r="I75" s="12"/>
      <c r="J75" s="12"/>
      <c r="K75" s="1"/>
      <c r="L75" s="1"/>
      <c r="M75" s="1"/>
      <c r="N75" s="1"/>
    </row>
    <row r="76" spans="1:14" ht="14.45" customHeight="1" x14ac:dyDescent="0.4">
      <c r="A76" s="1"/>
      <c r="B76" s="12"/>
      <c r="C76" s="12"/>
      <c r="D76" s="12"/>
      <c r="E76" s="12"/>
      <c r="F76" s="34"/>
      <c r="G76" s="34"/>
      <c r="H76" s="35" t="str">
        <f>IF(OR(tbl_Vendor_Tracker[[#This Row],[Contract_Amt]]="",tbl_Vendor_Tracker[[#This Row],[Deposit_Paid]]=""),"",tbl_Vendor_Tracker[[#This Row],[Contract_Amt]]-tbl_Vendor_Tracker[[#This Row],[Deposit_Paid]])</f>
        <v/>
      </c>
      <c r="I76" s="12"/>
      <c r="J76" s="12"/>
      <c r="K76" s="1"/>
      <c r="L76" s="1"/>
      <c r="M76" s="1"/>
      <c r="N76" s="1"/>
    </row>
    <row r="77" spans="1:14" ht="14.45" customHeight="1" x14ac:dyDescent="0.4">
      <c r="A77" s="1"/>
      <c r="B77" s="12"/>
      <c r="C77" s="12"/>
      <c r="D77" s="12"/>
      <c r="E77" s="12"/>
      <c r="F77" s="34"/>
      <c r="G77" s="34"/>
      <c r="H77" s="35" t="str">
        <f>IF(OR(tbl_Vendor_Tracker[[#This Row],[Contract_Amt]]="",tbl_Vendor_Tracker[[#This Row],[Deposit_Paid]]=""),"",tbl_Vendor_Tracker[[#This Row],[Contract_Amt]]-tbl_Vendor_Tracker[[#This Row],[Deposit_Paid]])</f>
        <v/>
      </c>
      <c r="I77" s="12"/>
      <c r="J77" s="12"/>
      <c r="K77" s="1"/>
      <c r="L77" s="1"/>
      <c r="M77" s="1"/>
      <c r="N77" s="1"/>
    </row>
    <row r="78" spans="1:14" ht="14.45" customHeight="1" x14ac:dyDescent="0.4">
      <c r="A78" s="1"/>
      <c r="B78" s="12"/>
      <c r="C78" s="12"/>
      <c r="D78" s="12"/>
      <c r="E78" s="12"/>
      <c r="F78" s="34"/>
      <c r="G78" s="34"/>
      <c r="H78" s="35" t="str">
        <f>IF(OR(tbl_Vendor_Tracker[[#This Row],[Contract_Amt]]="",tbl_Vendor_Tracker[[#This Row],[Deposit_Paid]]=""),"",tbl_Vendor_Tracker[[#This Row],[Contract_Amt]]-tbl_Vendor_Tracker[[#This Row],[Deposit_Paid]])</f>
        <v/>
      </c>
      <c r="I78" s="12"/>
      <c r="J78" s="12"/>
      <c r="K78" s="1"/>
      <c r="L78" s="1"/>
      <c r="M78" s="1"/>
      <c r="N78" s="1"/>
    </row>
    <row r="79" spans="1:14" ht="14.45" customHeight="1" x14ac:dyDescent="0.4">
      <c r="A79" s="1"/>
      <c r="B79" s="12"/>
      <c r="C79" s="12"/>
      <c r="D79" s="12"/>
      <c r="E79" s="12"/>
      <c r="F79" s="34"/>
      <c r="G79" s="34"/>
      <c r="H79" s="35" t="str">
        <f>IF(OR(tbl_Vendor_Tracker[[#This Row],[Contract_Amt]]="",tbl_Vendor_Tracker[[#This Row],[Deposit_Paid]]=""),"",tbl_Vendor_Tracker[[#This Row],[Contract_Amt]]-tbl_Vendor_Tracker[[#This Row],[Deposit_Paid]])</f>
        <v/>
      </c>
      <c r="I79" s="12"/>
      <c r="J79" s="12"/>
      <c r="K79" s="1"/>
      <c r="L79" s="1"/>
      <c r="M79" s="1"/>
      <c r="N79" s="1"/>
    </row>
    <row r="80" spans="1:14" ht="14.45" customHeight="1" x14ac:dyDescent="0.4">
      <c r="A80" s="1"/>
      <c r="B80" s="12"/>
      <c r="C80" s="12"/>
      <c r="D80" s="12"/>
      <c r="E80" s="12"/>
      <c r="F80" s="34"/>
      <c r="G80" s="34"/>
      <c r="H80" s="35" t="str">
        <f>IF(OR(tbl_Vendor_Tracker[[#This Row],[Contract_Amt]]="",tbl_Vendor_Tracker[[#This Row],[Deposit_Paid]]=""),"",tbl_Vendor_Tracker[[#This Row],[Contract_Amt]]-tbl_Vendor_Tracker[[#This Row],[Deposit_Paid]])</f>
        <v/>
      </c>
      <c r="I80" s="12"/>
      <c r="J80" s="12"/>
      <c r="K80" s="1"/>
      <c r="L80" s="1"/>
      <c r="M80" s="1"/>
      <c r="N80" s="1"/>
    </row>
    <row r="81" spans="1:14" ht="14.45" customHeight="1" x14ac:dyDescent="0.4">
      <c r="A81" s="1"/>
      <c r="B81" s="12"/>
      <c r="C81" s="12"/>
      <c r="D81" s="12"/>
      <c r="E81" s="12"/>
      <c r="F81" s="34"/>
      <c r="G81" s="34"/>
      <c r="H81" s="35" t="str">
        <f>IF(OR(tbl_Vendor_Tracker[[#This Row],[Contract_Amt]]="",tbl_Vendor_Tracker[[#This Row],[Deposit_Paid]]=""),"",tbl_Vendor_Tracker[[#This Row],[Contract_Amt]]-tbl_Vendor_Tracker[[#This Row],[Deposit_Paid]])</f>
        <v/>
      </c>
      <c r="I81" s="12"/>
      <c r="J81" s="12"/>
      <c r="K81" s="1"/>
      <c r="L81" s="1"/>
      <c r="M81" s="1"/>
      <c r="N81" s="1"/>
    </row>
    <row r="82" spans="1:14" ht="14.45" customHeight="1" x14ac:dyDescent="0.4">
      <c r="A82" s="1"/>
      <c r="B82" s="12"/>
      <c r="C82" s="12"/>
      <c r="D82" s="12"/>
      <c r="E82" s="12"/>
      <c r="F82" s="34"/>
      <c r="G82" s="34"/>
      <c r="H82" s="35" t="str">
        <f>IF(OR(tbl_Vendor_Tracker[[#This Row],[Contract_Amt]]="",tbl_Vendor_Tracker[[#This Row],[Deposit_Paid]]=""),"",tbl_Vendor_Tracker[[#This Row],[Contract_Amt]]-tbl_Vendor_Tracker[[#This Row],[Deposit_Paid]])</f>
        <v/>
      </c>
      <c r="I82" s="12"/>
      <c r="J82" s="12"/>
      <c r="K82" s="1"/>
      <c r="L82" s="1"/>
      <c r="M82" s="1"/>
      <c r="N82" s="1"/>
    </row>
    <row r="83" spans="1:14" ht="14.45" customHeight="1" x14ac:dyDescent="0.4">
      <c r="A83" s="1"/>
      <c r="B83" s="12"/>
      <c r="C83" s="12"/>
      <c r="D83" s="12"/>
      <c r="E83" s="12"/>
      <c r="F83" s="34"/>
      <c r="G83" s="34"/>
      <c r="H83" s="35" t="str">
        <f>IF(OR(tbl_Vendor_Tracker[[#This Row],[Contract_Amt]]="",tbl_Vendor_Tracker[[#This Row],[Deposit_Paid]]=""),"",tbl_Vendor_Tracker[[#This Row],[Contract_Amt]]-tbl_Vendor_Tracker[[#This Row],[Deposit_Paid]])</f>
        <v/>
      </c>
      <c r="I83" s="12"/>
      <c r="J83" s="12"/>
      <c r="K83" s="1"/>
      <c r="L83" s="1"/>
      <c r="M83" s="1"/>
      <c r="N83" s="1"/>
    </row>
    <row r="84" spans="1:14" ht="14.45" customHeight="1" x14ac:dyDescent="0.4">
      <c r="A84" s="1"/>
      <c r="B84" s="12"/>
      <c r="C84" s="12"/>
      <c r="D84" s="12"/>
      <c r="E84" s="12"/>
      <c r="F84" s="34"/>
      <c r="G84" s="34"/>
      <c r="H84" s="35" t="str">
        <f>IF(OR(tbl_Vendor_Tracker[[#This Row],[Contract_Amt]]="",tbl_Vendor_Tracker[[#This Row],[Deposit_Paid]]=""),"",tbl_Vendor_Tracker[[#This Row],[Contract_Amt]]-tbl_Vendor_Tracker[[#This Row],[Deposit_Paid]])</f>
        <v/>
      </c>
      <c r="I84" s="12"/>
      <c r="J84" s="12"/>
      <c r="K84" s="1"/>
      <c r="L84" s="1"/>
      <c r="M84" s="1"/>
      <c r="N84" s="1"/>
    </row>
    <row r="85" spans="1:14" ht="14.45" customHeight="1" x14ac:dyDescent="0.4">
      <c r="A85" s="1"/>
      <c r="B85" s="12"/>
      <c r="C85" s="12"/>
      <c r="D85" s="12"/>
      <c r="E85" s="12"/>
      <c r="F85" s="34"/>
      <c r="G85" s="34"/>
      <c r="H85" s="35" t="str">
        <f>IF(OR(tbl_Vendor_Tracker[[#This Row],[Contract_Amt]]="",tbl_Vendor_Tracker[[#This Row],[Deposit_Paid]]=""),"",tbl_Vendor_Tracker[[#This Row],[Contract_Amt]]-tbl_Vendor_Tracker[[#This Row],[Deposit_Paid]])</f>
        <v/>
      </c>
      <c r="I85" s="12"/>
      <c r="J85" s="12"/>
      <c r="K85" s="1"/>
      <c r="L85" s="1"/>
      <c r="M85" s="1"/>
      <c r="N85" s="1"/>
    </row>
    <row r="86" spans="1:14" ht="14.45" customHeight="1" x14ac:dyDescent="0.4">
      <c r="A86" s="1"/>
      <c r="B86" s="12"/>
      <c r="C86" s="12"/>
      <c r="D86" s="12"/>
      <c r="E86" s="12"/>
      <c r="F86" s="34"/>
      <c r="G86" s="34"/>
      <c r="H86" s="35" t="str">
        <f>IF(OR(tbl_Vendor_Tracker[[#This Row],[Contract_Amt]]="",tbl_Vendor_Tracker[[#This Row],[Deposit_Paid]]=""),"",tbl_Vendor_Tracker[[#This Row],[Contract_Amt]]-tbl_Vendor_Tracker[[#This Row],[Deposit_Paid]])</f>
        <v/>
      </c>
      <c r="I86" s="12"/>
      <c r="J86" s="12"/>
      <c r="K86" s="1"/>
      <c r="L86" s="1"/>
      <c r="M86" s="1"/>
      <c r="N86" s="1"/>
    </row>
    <row r="87" spans="1:14" ht="14.45" customHeight="1" x14ac:dyDescent="0.4">
      <c r="A87" s="1"/>
      <c r="B87" s="12"/>
      <c r="C87" s="12"/>
      <c r="D87" s="12"/>
      <c r="E87" s="12"/>
      <c r="F87" s="34"/>
      <c r="G87" s="34"/>
      <c r="H87" s="35" t="str">
        <f>IF(OR(tbl_Vendor_Tracker[[#This Row],[Contract_Amt]]="",tbl_Vendor_Tracker[[#This Row],[Deposit_Paid]]=""),"",tbl_Vendor_Tracker[[#This Row],[Contract_Amt]]-tbl_Vendor_Tracker[[#This Row],[Deposit_Paid]])</f>
        <v/>
      </c>
      <c r="I87" s="12"/>
      <c r="J87" s="12"/>
      <c r="K87" s="1"/>
      <c r="L87" s="1"/>
      <c r="M87" s="1"/>
      <c r="N87" s="1"/>
    </row>
    <row r="88" spans="1:14" ht="14.45" customHeight="1" x14ac:dyDescent="0.4">
      <c r="A88" s="1"/>
      <c r="B88" s="12"/>
      <c r="C88" s="12"/>
      <c r="D88" s="12"/>
      <c r="E88" s="12"/>
      <c r="F88" s="34"/>
      <c r="G88" s="34"/>
      <c r="H88" s="35" t="str">
        <f>IF(OR(tbl_Vendor_Tracker[[#This Row],[Contract_Amt]]="",tbl_Vendor_Tracker[[#This Row],[Deposit_Paid]]=""),"",tbl_Vendor_Tracker[[#This Row],[Contract_Amt]]-tbl_Vendor_Tracker[[#This Row],[Deposit_Paid]])</f>
        <v/>
      </c>
      <c r="I88" s="12"/>
      <c r="J88" s="12"/>
      <c r="K88" s="1"/>
      <c r="L88" s="1"/>
      <c r="M88" s="1"/>
      <c r="N88" s="1"/>
    </row>
    <row r="89" spans="1:14" ht="14.45" customHeight="1" x14ac:dyDescent="0.4">
      <c r="A89" s="1"/>
      <c r="B89" s="12"/>
      <c r="C89" s="12"/>
      <c r="D89" s="12"/>
      <c r="E89" s="12"/>
      <c r="F89" s="34"/>
      <c r="G89" s="34"/>
      <c r="H89" s="35" t="str">
        <f>IF(OR(tbl_Vendor_Tracker[[#This Row],[Contract_Amt]]="",tbl_Vendor_Tracker[[#This Row],[Deposit_Paid]]=""),"",tbl_Vendor_Tracker[[#This Row],[Contract_Amt]]-tbl_Vendor_Tracker[[#This Row],[Deposit_Paid]])</f>
        <v/>
      </c>
      <c r="I89" s="12"/>
      <c r="J89" s="12"/>
      <c r="K89" s="1"/>
      <c r="L89" s="1"/>
      <c r="M89" s="1"/>
      <c r="N89" s="1"/>
    </row>
    <row r="90" spans="1:14" ht="14.45" customHeight="1" x14ac:dyDescent="0.4">
      <c r="A90" s="1"/>
      <c r="B90" s="12"/>
      <c r="C90" s="12"/>
      <c r="D90" s="12"/>
      <c r="E90" s="12"/>
      <c r="F90" s="34"/>
      <c r="G90" s="34"/>
      <c r="H90" s="35" t="str">
        <f>IF(OR(tbl_Vendor_Tracker[[#This Row],[Contract_Amt]]="",tbl_Vendor_Tracker[[#This Row],[Deposit_Paid]]=""),"",tbl_Vendor_Tracker[[#This Row],[Contract_Amt]]-tbl_Vendor_Tracker[[#This Row],[Deposit_Paid]])</f>
        <v/>
      </c>
      <c r="I90" s="12"/>
      <c r="J90" s="12"/>
      <c r="K90" s="1"/>
      <c r="L90" s="1"/>
      <c r="M90" s="1"/>
      <c r="N90" s="1"/>
    </row>
    <row r="91" spans="1:14" ht="14.45" customHeight="1" x14ac:dyDescent="0.4">
      <c r="A91" s="1"/>
      <c r="B91" s="12"/>
      <c r="C91" s="12"/>
      <c r="D91" s="12"/>
      <c r="E91" s="12"/>
      <c r="F91" s="34"/>
      <c r="G91" s="34"/>
      <c r="H91" s="35" t="str">
        <f>IF(OR(tbl_Vendor_Tracker[[#This Row],[Contract_Amt]]="",tbl_Vendor_Tracker[[#This Row],[Deposit_Paid]]=""),"",tbl_Vendor_Tracker[[#This Row],[Contract_Amt]]-tbl_Vendor_Tracker[[#This Row],[Deposit_Paid]])</f>
        <v/>
      </c>
      <c r="I91" s="12"/>
      <c r="J91" s="12"/>
      <c r="K91" s="1"/>
      <c r="L91" s="1"/>
      <c r="M91" s="1"/>
      <c r="N91" s="1"/>
    </row>
    <row r="92" spans="1:14" ht="14.45" customHeight="1" x14ac:dyDescent="0.4">
      <c r="A92" s="1"/>
      <c r="B92" s="12"/>
      <c r="C92" s="12"/>
      <c r="D92" s="12"/>
      <c r="E92" s="12"/>
      <c r="F92" s="34"/>
      <c r="G92" s="34"/>
      <c r="H92" s="35" t="str">
        <f>IF(OR(tbl_Vendor_Tracker[[#This Row],[Contract_Amt]]="",tbl_Vendor_Tracker[[#This Row],[Deposit_Paid]]=""),"",tbl_Vendor_Tracker[[#This Row],[Contract_Amt]]-tbl_Vendor_Tracker[[#This Row],[Deposit_Paid]])</f>
        <v/>
      </c>
      <c r="I92" s="12"/>
      <c r="J92" s="12"/>
      <c r="K92" s="1"/>
      <c r="L92" s="1"/>
      <c r="M92" s="1"/>
      <c r="N92" s="1"/>
    </row>
    <row r="93" spans="1:14" ht="14.45" customHeight="1" x14ac:dyDescent="0.4">
      <c r="A93" s="1"/>
      <c r="B93" s="12"/>
      <c r="C93" s="12"/>
      <c r="D93" s="12"/>
      <c r="E93" s="12"/>
      <c r="F93" s="34"/>
      <c r="G93" s="34"/>
      <c r="H93" s="35" t="str">
        <f>IF(OR(tbl_Vendor_Tracker[[#This Row],[Contract_Amt]]="",tbl_Vendor_Tracker[[#This Row],[Deposit_Paid]]=""),"",tbl_Vendor_Tracker[[#This Row],[Contract_Amt]]-tbl_Vendor_Tracker[[#This Row],[Deposit_Paid]])</f>
        <v/>
      </c>
      <c r="I93" s="12"/>
      <c r="J93" s="12"/>
      <c r="K93" s="1"/>
      <c r="L93" s="1"/>
      <c r="M93" s="1"/>
      <c r="N93" s="1"/>
    </row>
    <row r="94" spans="1:14" ht="14.45" customHeight="1" x14ac:dyDescent="0.4">
      <c r="A94" s="1"/>
      <c r="B94" s="12"/>
      <c r="C94" s="12"/>
      <c r="D94" s="12"/>
      <c r="E94" s="12"/>
      <c r="F94" s="34"/>
      <c r="G94" s="34"/>
      <c r="H94" s="35" t="str">
        <f>IF(OR(tbl_Vendor_Tracker[[#This Row],[Contract_Amt]]="",tbl_Vendor_Tracker[[#This Row],[Deposit_Paid]]=""),"",tbl_Vendor_Tracker[[#This Row],[Contract_Amt]]-tbl_Vendor_Tracker[[#This Row],[Deposit_Paid]])</f>
        <v/>
      </c>
      <c r="I94" s="12"/>
      <c r="J94" s="12"/>
      <c r="K94" s="1"/>
      <c r="L94" s="1"/>
      <c r="M94" s="1"/>
      <c r="N94" s="1"/>
    </row>
    <row r="95" spans="1:14" ht="14.45" customHeight="1" x14ac:dyDescent="0.4">
      <c r="A95" s="1"/>
      <c r="B95" s="12"/>
      <c r="C95" s="12"/>
      <c r="D95" s="12"/>
      <c r="E95" s="12"/>
      <c r="F95" s="34"/>
      <c r="G95" s="34"/>
      <c r="H95" s="35" t="str">
        <f>IF(OR(tbl_Vendor_Tracker[[#This Row],[Contract_Amt]]="",tbl_Vendor_Tracker[[#This Row],[Deposit_Paid]]=""),"",tbl_Vendor_Tracker[[#This Row],[Contract_Amt]]-tbl_Vendor_Tracker[[#This Row],[Deposit_Paid]])</f>
        <v/>
      </c>
      <c r="I95" s="12"/>
      <c r="J95" s="12"/>
      <c r="K95" s="1"/>
      <c r="L95" s="1"/>
      <c r="M95" s="1"/>
      <c r="N95" s="1"/>
    </row>
    <row r="96" spans="1:14" ht="14.45" customHeight="1" x14ac:dyDescent="0.4">
      <c r="A96" s="1"/>
      <c r="B96" s="12"/>
      <c r="C96" s="12"/>
      <c r="D96" s="12"/>
      <c r="E96" s="12"/>
      <c r="F96" s="34"/>
      <c r="G96" s="34"/>
      <c r="H96" s="35" t="str">
        <f>IF(OR(tbl_Vendor_Tracker[[#This Row],[Contract_Amt]]="",tbl_Vendor_Tracker[[#This Row],[Deposit_Paid]]=""),"",tbl_Vendor_Tracker[[#This Row],[Contract_Amt]]-tbl_Vendor_Tracker[[#This Row],[Deposit_Paid]])</f>
        <v/>
      </c>
      <c r="I96" s="12"/>
      <c r="J96" s="12"/>
      <c r="K96" s="1"/>
      <c r="L96" s="1"/>
      <c r="M96" s="1"/>
      <c r="N96" s="1"/>
    </row>
    <row r="97" spans="1:14" ht="14.45" customHeight="1" x14ac:dyDescent="0.4">
      <c r="A97" s="1"/>
      <c r="B97" s="12"/>
      <c r="C97" s="12"/>
      <c r="D97" s="12"/>
      <c r="E97" s="12"/>
      <c r="F97" s="34"/>
      <c r="G97" s="34"/>
      <c r="H97" s="35" t="str">
        <f>IF(OR(tbl_Vendor_Tracker[[#This Row],[Contract_Amt]]="",tbl_Vendor_Tracker[[#This Row],[Deposit_Paid]]=""),"",tbl_Vendor_Tracker[[#This Row],[Contract_Amt]]-tbl_Vendor_Tracker[[#This Row],[Deposit_Paid]])</f>
        <v/>
      </c>
      <c r="I97" s="12"/>
      <c r="J97" s="12"/>
      <c r="K97" s="1"/>
      <c r="L97" s="1"/>
      <c r="M97" s="1"/>
      <c r="N97" s="1"/>
    </row>
    <row r="98" spans="1:14" ht="14.45" customHeight="1" x14ac:dyDescent="0.4">
      <c r="A98" s="1"/>
      <c r="B98" s="12"/>
      <c r="C98" s="12"/>
      <c r="D98" s="12"/>
      <c r="E98" s="12"/>
      <c r="F98" s="34"/>
      <c r="G98" s="34"/>
      <c r="H98" s="35" t="str">
        <f>IF(OR(tbl_Vendor_Tracker[[#This Row],[Contract_Amt]]="",tbl_Vendor_Tracker[[#This Row],[Deposit_Paid]]=""),"",tbl_Vendor_Tracker[[#This Row],[Contract_Amt]]-tbl_Vendor_Tracker[[#This Row],[Deposit_Paid]])</f>
        <v/>
      </c>
      <c r="I98" s="12"/>
      <c r="J98" s="12"/>
      <c r="K98" s="1"/>
      <c r="L98" s="1"/>
      <c r="M98" s="1"/>
      <c r="N98" s="1"/>
    </row>
    <row r="99" spans="1:14" ht="14.45" customHeight="1" x14ac:dyDescent="0.4">
      <c r="A99" s="1"/>
      <c r="B99" s="12"/>
      <c r="C99" s="12"/>
      <c r="D99" s="12"/>
      <c r="E99" s="12"/>
      <c r="F99" s="34"/>
      <c r="G99" s="34"/>
      <c r="H99" s="35" t="str">
        <f>IF(OR(tbl_Vendor_Tracker[[#This Row],[Contract_Amt]]="",tbl_Vendor_Tracker[[#This Row],[Deposit_Paid]]=""),"",tbl_Vendor_Tracker[[#This Row],[Contract_Amt]]-tbl_Vendor_Tracker[[#This Row],[Deposit_Paid]])</f>
        <v/>
      </c>
      <c r="I99" s="12"/>
      <c r="J99" s="12"/>
      <c r="K99" s="1"/>
      <c r="L99" s="1"/>
      <c r="M99" s="1"/>
      <c r="N99" s="1"/>
    </row>
    <row r="100" spans="1:14" ht="14.45" customHeight="1" x14ac:dyDescent="0.4">
      <c r="A100" s="1"/>
      <c r="B100" s="12"/>
      <c r="C100" s="12"/>
      <c r="D100" s="12"/>
      <c r="E100" s="12"/>
      <c r="F100" s="34"/>
      <c r="G100" s="34"/>
      <c r="H100" s="35" t="str">
        <f>IF(OR(tbl_Vendor_Tracker[[#This Row],[Contract_Amt]]="",tbl_Vendor_Tracker[[#This Row],[Deposit_Paid]]=""),"",tbl_Vendor_Tracker[[#This Row],[Contract_Amt]]-tbl_Vendor_Tracker[[#This Row],[Deposit_Paid]])</f>
        <v/>
      </c>
      <c r="I100" s="12"/>
      <c r="J100" s="12"/>
      <c r="K100" s="1"/>
      <c r="L100" s="1"/>
      <c r="M100" s="1"/>
      <c r="N100" s="1"/>
    </row>
    <row r="101" spans="1:14" ht="14.45" customHeight="1" x14ac:dyDescent="0.4">
      <c r="A101" s="1"/>
      <c r="B101" s="12"/>
      <c r="C101" s="12"/>
      <c r="D101" s="12"/>
      <c r="E101" s="12"/>
      <c r="F101" s="34"/>
      <c r="G101" s="34"/>
      <c r="H101" s="35" t="str">
        <f>IF(OR(tbl_Vendor_Tracker[[#This Row],[Contract_Amt]]="",tbl_Vendor_Tracker[[#This Row],[Deposit_Paid]]=""),"",tbl_Vendor_Tracker[[#This Row],[Contract_Amt]]-tbl_Vendor_Tracker[[#This Row],[Deposit_Paid]])</f>
        <v/>
      </c>
      <c r="I101" s="12"/>
      <c r="J101" s="12"/>
      <c r="K101" s="1"/>
      <c r="L101" s="1"/>
      <c r="M101" s="1"/>
      <c r="N101" s="1"/>
    </row>
    <row r="102" spans="1:14" ht="14.45" customHeight="1" x14ac:dyDescent="0.4">
      <c r="A102" s="1"/>
      <c r="B102" s="12"/>
      <c r="C102" s="12"/>
      <c r="D102" s="12"/>
      <c r="E102" s="12"/>
      <c r="F102" s="34"/>
      <c r="G102" s="34"/>
      <c r="H102" s="35" t="str">
        <f>IF(OR(tbl_Vendor_Tracker[[#This Row],[Contract_Amt]]="",tbl_Vendor_Tracker[[#This Row],[Deposit_Paid]]=""),"",tbl_Vendor_Tracker[[#This Row],[Contract_Amt]]-tbl_Vendor_Tracker[[#This Row],[Deposit_Paid]])</f>
        <v/>
      </c>
      <c r="I102" s="12"/>
      <c r="J102" s="12"/>
      <c r="K102" s="1"/>
      <c r="L102" s="1"/>
      <c r="M102" s="1"/>
      <c r="N102" s="1"/>
    </row>
    <row r="103" spans="1:14" ht="14.45" customHeight="1" x14ac:dyDescent="0.4">
      <c r="A103" s="1"/>
      <c r="B103" s="12"/>
      <c r="C103" s="12"/>
      <c r="D103" s="12"/>
      <c r="E103" s="12"/>
      <c r="F103" s="34"/>
      <c r="G103" s="34"/>
      <c r="H103" s="35" t="str">
        <f>IF(OR(tbl_Vendor_Tracker[[#This Row],[Contract_Amt]]="",tbl_Vendor_Tracker[[#This Row],[Deposit_Paid]]=""),"",tbl_Vendor_Tracker[[#This Row],[Contract_Amt]]-tbl_Vendor_Tracker[[#This Row],[Deposit_Paid]])</f>
        <v/>
      </c>
      <c r="I103" s="12"/>
      <c r="J103" s="12"/>
      <c r="K103" s="1"/>
      <c r="L103" s="1"/>
      <c r="M103" s="1"/>
      <c r="N103" s="1"/>
    </row>
    <row r="104" spans="1:14" ht="14.45" customHeight="1" x14ac:dyDescent="0.4">
      <c r="A104" s="1"/>
      <c r="B104" s="12"/>
      <c r="C104" s="12"/>
      <c r="D104" s="12"/>
      <c r="E104" s="12"/>
      <c r="F104" s="34"/>
      <c r="G104" s="34"/>
      <c r="H104" s="35" t="str">
        <f>IF(OR(tbl_Vendor_Tracker[[#This Row],[Contract_Amt]]="",tbl_Vendor_Tracker[[#This Row],[Deposit_Paid]]=""),"",tbl_Vendor_Tracker[[#This Row],[Contract_Amt]]-tbl_Vendor_Tracker[[#This Row],[Deposit_Paid]])</f>
        <v/>
      </c>
      <c r="I104" s="12"/>
      <c r="J104" s="12"/>
      <c r="K104" s="1"/>
      <c r="L104" s="1"/>
      <c r="M104" s="1"/>
      <c r="N104" s="1"/>
    </row>
    <row r="105" spans="1:14" ht="14.45" customHeight="1" x14ac:dyDescent="0.4">
      <c r="A105" s="1"/>
      <c r="B105" s="12"/>
      <c r="C105" s="12"/>
      <c r="D105" s="12"/>
      <c r="E105" s="12"/>
      <c r="F105" s="34"/>
      <c r="G105" s="34"/>
      <c r="H105" s="35" t="str">
        <f>IF(OR(tbl_Vendor_Tracker[[#This Row],[Contract_Amt]]="",tbl_Vendor_Tracker[[#This Row],[Deposit_Paid]]=""),"",tbl_Vendor_Tracker[[#This Row],[Contract_Amt]]-tbl_Vendor_Tracker[[#This Row],[Deposit_Paid]])</f>
        <v/>
      </c>
      <c r="I105" s="12"/>
      <c r="J105" s="12"/>
      <c r="K105" s="1"/>
      <c r="L105" s="1"/>
      <c r="M105" s="1"/>
      <c r="N105" s="1"/>
    </row>
    <row r="106" spans="1:14" ht="14.45" customHeight="1" x14ac:dyDescent="0.4">
      <c r="A106" s="1"/>
      <c r="B106" s="12"/>
      <c r="C106" s="12"/>
      <c r="D106" s="12"/>
      <c r="E106" s="12"/>
      <c r="F106" s="34"/>
      <c r="G106" s="34"/>
      <c r="H106" s="35" t="str">
        <f>IF(OR(tbl_Vendor_Tracker[[#This Row],[Contract_Amt]]="",tbl_Vendor_Tracker[[#This Row],[Deposit_Paid]]=""),"",tbl_Vendor_Tracker[[#This Row],[Contract_Amt]]-tbl_Vendor_Tracker[[#This Row],[Deposit_Paid]])</f>
        <v/>
      </c>
      <c r="I106" s="12"/>
      <c r="J106" s="12"/>
      <c r="K106" s="1"/>
      <c r="L106" s="1"/>
      <c r="M106" s="1"/>
      <c r="N106" s="1"/>
    </row>
    <row r="107" spans="1:14" ht="14.45" customHeight="1" x14ac:dyDescent="0.4">
      <c r="A107" s="1"/>
      <c r="B107" s="12"/>
      <c r="C107" s="12"/>
      <c r="D107" s="12"/>
      <c r="E107" s="12"/>
      <c r="F107" s="34"/>
      <c r="G107" s="34"/>
      <c r="H107" s="35" t="str">
        <f>IF(OR(tbl_Vendor_Tracker[[#This Row],[Contract_Amt]]="",tbl_Vendor_Tracker[[#This Row],[Deposit_Paid]]=""),"",tbl_Vendor_Tracker[[#This Row],[Contract_Amt]]-tbl_Vendor_Tracker[[#This Row],[Deposit_Paid]])</f>
        <v/>
      </c>
      <c r="I107" s="12"/>
      <c r="J107" s="12"/>
      <c r="K107" s="1"/>
      <c r="L107" s="1"/>
      <c r="M107" s="1"/>
      <c r="N107" s="1"/>
    </row>
    <row r="108" spans="1:14" ht="14.45" customHeight="1" x14ac:dyDescent="0.4">
      <c r="A108" s="1"/>
      <c r="B108" s="12"/>
      <c r="C108" s="12"/>
      <c r="D108" s="12"/>
      <c r="E108" s="12"/>
      <c r="F108" s="34"/>
      <c r="G108" s="34"/>
      <c r="H108" s="35" t="str">
        <f>IF(OR(tbl_Vendor_Tracker[[#This Row],[Contract_Amt]]="",tbl_Vendor_Tracker[[#This Row],[Deposit_Paid]]=""),"",tbl_Vendor_Tracker[[#This Row],[Contract_Amt]]-tbl_Vendor_Tracker[[#This Row],[Deposit_Paid]])</f>
        <v/>
      </c>
      <c r="I108" s="12"/>
      <c r="J108" s="12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1">
    <mergeCell ref="B2:N3"/>
  </mergeCells>
  <dataValidations count="3">
    <dataValidation type="list" errorTitle="Invalid Entry" error="Select a value from the dropdown list." sqref="C9:C108" xr:uid="{00000000-0002-0000-0400-000000000000}">
      <formula1>list_Vendor_Category</formula1>
    </dataValidation>
    <dataValidation type="list" errorTitle="Invalid Entry" error="Select a value from the dropdown list." sqref="I9:I108" xr:uid="{00000000-0002-0000-0400-000001000000}">
      <formula1>list_Pay_Status</formula1>
    </dataValidation>
    <dataValidation type="list" errorTitle="Invalid Entry" error="Select a value from the dropdown list." sqref="J9:J108" xr:uid="{00000000-0002-0000-0400-000002000000}">
      <formula1>list_Yes_No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51C2C"/>
  </sheetPr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"/>
    </sheetView>
  </sheetViews>
  <sheetFormatPr defaultRowHeight="14.25" x14ac:dyDescent="0.4"/>
  <cols>
    <col min="1" max="1" width="2.46484375" customWidth="1"/>
    <col min="2" max="2" width="12" customWidth="1"/>
    <col min="3" max="3" width="22" customWidth="1"/>
    <col min="4" max="6" width="18" customWidth="1"/>
    <col min="7" max="8" width="14" customWidth="1"/>
    <col min="9" max="9" width="12" customWidth="1"/>
    <col min="10" max="10" width="28" customWidth="1"/>
    <col min="11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.75" x14ac:dyDescent="0.4">
      <c r="A6" s="1"/>
      <c r="B6" s="28" t="s">
        <v>162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4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45" customHeight="1" x14ac:dyDescent="0.4">
      <c r="A8" s="1"/>
      <c r="B8" s="5" t="s">
        <v>163</v>
      </c>
      <c r="C8" s="5" t="s">
        <v>164</v>
      </c>
      <c r="D8" s="5" t="s">
        <v>165</v>
      </c>
      <c r="E8" s="5" t="s">
        <v>166</v>
      </c>
      <c r="F8" s="5" t="s">
        <v>55</v>
      </c>
      <c r="G8" s="5" t="s">
        <v>167</v>
      </c>
      <c r="H8" s="5" t="s">
        <v>168</v>
      </c>
      <c r="I8" s="5" t="s">
        <v>169</v>
      </c>
      <c r="J8" s="5" t="s">
        <v>170</v>
      </c>
      <c r="K8" s="1"/>
      <c r="L8" s="1"/>
      <c r="M8" s="1"/>
      <c r="N8" s="1"/>
    </row>
    <row r="9" spans="1:14" ht="14.45" customHeight="1" x14ac:dyDescent="0.4">
      <c r="A9" s="1"/>
      <c r="B9" s="12" t="s">
        <v>171</v>
      </c>
      <c r="C9" s="12" t="s">
        <v>172</v>
      </c>
      <c r="D9" s="12" t="s">
        <v>65</v>
      </c>
      <c r="E9" s="12" t="s">
        <v>66</v>
      </c>
      <c r="F9" s="12" t="s">
        <v>67</v>
      </c>
      <c r="G9" s="12">
        <v>2</v>
      </c>
      <c r="H9" s="12">
        <v>2</v>
      </c>
      <c r="I9" s="12" t="s">
        <v>173</v>
      </c>
      <c r="J9" s="12" t="s">
        <v>174</v>
      </c>
      <c r="K9" s="1"/>
      <c r="L9" s="1"/>
      <c r="M9" s="1"/>
      <c r="N9" s="1"/>
    </row>
    <row r="10" spans="1:14" ht="14.45" customHeight="1" x14ac:dyDescent="0.4">
      <c r="A10" s="1"/>
      <c r="B10" s="12" t="s">
        <v>175</v>
      </c>
      <c r="C10" s="12" t="s">
        <v>176</v>
      </c>
      <c r="D10" s="12" t="s">
        <v>77</v>
      </c>
      <c r="E10" s="12" t="s">
        <v>78</v>
      </c>
      <c r="F10" s="12" t="s">
        <v>90</v>
      </c>
      <c r="G10" s="12">
        <v>1</v>
      </c>
      <c r="H10" s="12">
        <v>0</v>
      </c>
      <c r="I10" s="12"/>
      <c r="J10" s="12" t="s">
        <v>177</v>
      </c>
      <c r="K10" s="1"/>
      <c r="L10" s="1"/>
      <c r="M10" s="1"/>
      <c r="N10" s="1"/>
    </row>
    <row r="11" spans="1:14" ht="14.45" customHeight="1" x14ac:dyDescent="0.4">
      <c r="A11" s="1"/>
      <c r="B11" s="12" t="s">
        <v>178</v>
      </c>
      <c r="C11" s="12" t="s">
        <v>179</v>
      </c>
      <c r="D11" s="12" t="s">
        <v>88</v>
      </c>
      <c r="E11" s="12" t="s">
        <v>97</v>
      </c>
      <c r="F11" s="12" t="s">
        <v>98</v>
      </c>
      <c r="G11" s="12">
        <v>1</v>
      </c>
      <c r="H11" s="12">
        <v>0</v>
      </c>
      <c r="I11" s="12"/>
      <c r="J11" s="12"/>
      <c r="K11" s="1"/>
      <c r="L11" s="1"/>
      <c r="M11" s="1"/>
      <c r="N11" s="1"/>
    </row>
    <row r="12" spans="1:14" ht="14.45" customHeight="1" x14ac:dyDescent="0.4">
      <c r="A12" s="1"/>
      <c r="B12" s="12" t="s">
        <v>180</v>
      </c>
      <c r="C12" s="12" t="s">
        <v>181</v>
      </c>
      <c r="D12" s="12" t="s">
        <v>77</v>
      </c>
      <c r="E12" s="12" t="s">
        <v>66</v>
      </c>
      <c r="F12" s="12" t="s">
        <v>79</v>
      </c>
      <c r="G12" s="12">
        <v>2</v>
      </c>
      <c r="H12" s="12">
        <v>0</v>
      </c>
      <c r="I12" s="12"/>
      <c r="J12" s="12"/>
      <c r="K12" s="1"/>
      <c r="L12" s="1"/>
      <c r="M12" s="1"/>
      <c r="N12" s="1"/>
    </row>
    <row r="13" spans="1:14" ht="14.45" customHeight="1" x14ac:dyDescent="0.4">
      <c r="A13" s="1"/>
      <c r="B13" s="12"/>
      <c r="C13" s="12"/>
      <c r="D13" s="12"/>
      <c r="E13" s="12"/>
      <c r="F13" s="12"/>
      <c r="G13" s="12"/>
      <c r="H13" s="12"/>
      <c r="I13" s="12"/>
      <c r="J13" s="12"/>
      <c r="K13" s="1"/>
      <c r="L13" s="1"/>
      <c r="M13" s="1"/>
      <c r="N13" s="1"/>
    </row>
    <row r="14" spans="1:14" ht="14.45" customHeight="1" x14ac:dyDescent="0.4">
      <c r="A14" s="1"/>
      <c r="B14" s="12"/>
      <c r="C14" s="12"/>
      <c r="D14" s="12"/>
      <c r="E14" s="12"/>
      <c r="F14" s="12"/>
      <c r="G14" s="12"/>
      <c r="H14" s="12"/>
      <c r="I14" s="12"/>
      <c r="J14" s="12"/>
      <c r="K14" s="1"/>
      <c r="L14" s="1"/>
      <c r="M14" s="1"/>
      <c r="N14" s="1"/>
    </row>
    <row r="15" spans="1:14" ht="14.45" customHeight="1" x14ac:dyDescent="0.4">
      <c r="A15" s="1"/>
      <c r="B15" s="12"/>
      <c r="C15" s="12"/>
      <c r="D15" s="12"/>
      <c r="E15" s="12"/>
      <c r="F15" s="12"/>
      <c r="G15" s="12"/>
      <c r="H15" s="12"/>
      <c r="I15" s="12"/>
      <c r="J15" s="12"/>
      <c r="K15" s="1"/>
      <c r="L15" s="1"/>
      <c r="M15" s="1"/>
      <c r="N15" s="1"/>
    </row>
    <row r="16" spans="1:14" ht="14.45" customHeight="1" x14ac:dyDescent="0.4">
      <c r="A16" s="1"/>
      <c r="B16" s="12"/>
      <c r="C16" s="12"/>
      <c r="D16" s="12"/>
      <c r="E16" s="12"/>
      <c r="F16" s="12"/>
      <c r="G16" s="12"/>
      <c r="H16" s="12"/>
      <c r="I16" s="12"/>
      <c r="J16" s="12"/>
      <c r="K16" s="1"/>
      <c r="L16" s="1"/>
      <c r="M16" s="1"/>
      <c r="N16" s="1"/>
    </row>
    <row r="17" spans="1:14" ht="14.45" customHeight="1" x14ac:dyDescent="0.4">
      <c r="A17" s="1"/>
      <c r="B17" s="12"/>
      <c r="C17" s="12"/>
      <c r="D17" s="12"/>
      <c r="E17" s="12"/>
      <c r="F17" s="12"/>
      <c r="G17" s="12"/>
      <c r="H17" s="12"/>
      <c r="I17" s="12"/>
      <c r="J17" s="12"/>
      <c r="K17" s="1"/>
      <c r="L17" s="1"/>
      <c r="M17" s="1"/>
      <c r="N17" s="1"/>
    </row>
    <row r="18" spans="1:14" ht="14.45" customHeight="1" x14ac:dyDescent="0.4">
      <c r="A18" s="1"/>
      <c r="B18" s="12"/>
      <c r="C18" s="12"/>
      <c r="D18" s="12"/>
      <c r="E18" s="12"/>
      <c r="F18" s="12"/>
      <c r="G18" s="12"/>
      <c r="H18" s="12"/>
      <c r="I18" s="12"/>
      <c r="J18" s="12"/>
      <c r="K18" s="1"/>
      <c r="L18" s="1"/>
      <c r="M18" s="1"/>
      <c r="N18" s="1"/>
    </row>
    <row r="19" spans="1:14" ht="14.45" customHeight="1" x14ac:dyDescent="0.4">
      <c r="A19" s="1"/>
      <c r="B19" s="12"/>
      <c r="C19" s="12"/>
      <c r="D19" s="12"/>
      <c r="E19" s="12"/>
      <c r="F19" s="12"/>
      <c r="G19" s="12"/>
      <c r="H19" s="12"/>
      <c r="I19" s="12"/>
      <c r="J19" s="12"/>
      <c r="K19" s="1"/>
      <c r="L19" s="1"/>
      <c r="M19" s="1"/>
      <c r="N19" s="1"/>
    </row>
    <row r="20" spans="1:14" ht="14.45" customHeight="1" x14ac:dyDescent="0.4">
      <c r="A20" s="1"/>
      <c r="B20" s="12"/>
      <c r="C20" s="12"/>
      <c r="D20" s="12"/>
      <c r="E20" s="12"/>
      <c r="F20" s="12"/>
      <c r="G20" s="12"/>
      <c r="H20" s="12"/>
      <c r="I20" s="12"/>
      <c r="J20" s="12"/>
      <c r="K20" s="1"/>
      <c r="L20" s="1"/>
      <c r="M20" s="1"/>
      <c r="N20" s="1"/>
    </row>
    <row r="21" spans="1:14" ht="14.45" customHeight="1" x14ac:dyDescent="0.4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  <c r="M21" s="1"/>
      <c r="N21" s="1"/>
    </row>
    <row r="22" spans="1:14" ht="14.45" customHeight="1" x14ac:dyDescent="0.4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  <c r="M22" s="1"/>
      <c r="N22" s="1"/>
    </row>
    <row r="23" spans="1:14" ht="14.45" customHeight="1" x14ac:dyDescent="0.4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  <c r="M23" s="1"/>
      <c r="N23" s="1"/>
    </row>
    <row r="24" spans="1:14" ht="14.45" customHeight="1" x14ac:dyDescent="0.4">
      <c r="A24" s="1"/>
      <c r="B24" s="12"/>
      <c r="C24" s="12"/>
      <c r="D24" s="12"/>
      <c r="E24" s="12"/>
      <c r="F24" s="12"/>
      <c r="G24" s="12"/>
      <c r="H24" s="12"/>
      <c r="I24" s="12"/>
      <c r="J24" s="12"/>
      <c r="K24" s="1"/>
      <c r="L24" s="1"/>
      <c r="M24" s="1"/>
      <c r="N24" s="1"/>
    </row>
    <row r="25" spans="1:14" ht="14.45" customHeight="1" x14ac:dyDescent="0.4">
      <c r="A25" s="1"/>
      <c r="B25" s="12"/>
      <c r="C25" s="12"/>
      <c r="D25" s="12"/>
      <c r="E25" s="12"/>
      <c r="F25" s="12"/>
      <c r="G25" s="12"/>
      <c r="H25" s="12"/>
      <c r="I25" s="12"/>
      <c r="J25" s="12"/>
      <c r="K25" s="1"/>
      <c r="L25" s="1"/>
      <c r="M25" s="1"/>
      <c r="N25" s="1"/>
    </row>
    <row r="26" spans="1:14" ht="14.45" customHeight="1" x14ac:dyDescent="0.4">
      <c r="A26" s="1"/>
      <c r="B26" s="12"/>
      <c r="C26" s="12"/>
      <c r="D26" s="12"/>
      <c r="E26" s="12"/>
      <c r="F26" s="12"/>
      <c r="G26" s="12"/>
      <c r="H26" s="12"/>
      <c r="I26" s="12"/>
      <c r="J26" s="12"/>
      <c r="K26" s="1"/>
      <c r="L26" s="1"/>
      <c r="M26" s="1"/>
      <c r="N26" s="1"/>
    </row>
    <row r="27" spans="1:14" ht="14.45" customHeight="1" x14ac:dyDescent="0.4">
      <c r="A27" s="1"/>
      <c r="B27" s="12"/>
      <c r="C27" s="12"/>
      <c r="D27" s="12"/>
      <c r="E27" s="12"/>
      <c r="F27" s="12"/>
      <c r="G27" s="12"/>
      <c r="H27" s="12"/>
      <c r="I27" s="12"/>
      <c r="J27" s="12"/>
      <c r="K27" s="1"/>
      <c r="L27" s="1"/>
      <c r="M27" s="1"/>
      <c r="N27" s="1"/>
    </row>
    <row r="28" spans="1:14" ht="14.45" customHeight="1" x14ac:dyDescent="0.4">
      <c r="A28" s="1"/>
      <c r="B28" s="12"/>
      <c r="C28" s="12"/>
      <c r="D28" s="12"/>
      <c r="E28" s="12"/>
      <c r="F28" s="12"/>
      <c r="G28" s="12"/>
      <c r="H28" s="12"/>
      <c r="I28" s="12"/>
      <c r="J28" s="12"/>
      <c r="K28" s="1"/>
      <c r="L28" s="1"/>
      <c r="M28" s="1"/>
      <c r="N28" s="1"/>
    </row>
    <row r="29" spans="1:14" ht="14.45" customHeight="1" x14ac:dyDescent="0.4">
      <c r="A29" s="1"/>
      <c r="B29" s="12"/>
      <c r="C29" s="12"/>
      <c r="D29" s="12"/>
      <c r="E29" s="12"/>
      <c r="F29" s="12"/>
      <c r="G29" s="12"/>
      <c r="H29" s="12"/>
      <c r="I29" s="12"/>
      <c r="J29" s="12"/>
      <c r="K29" s="1"/>
      <c r="L29" s="1"/>
      <c r="M29" s="1"/>
      <c r="N29" s="1"/>
    </row>
    <row r="30" spans="1:14" ht="14.45" customHeight="1" x14ac:dyDescent="0.4">
      <c r="A30" s="1"/>
      <c r="B30" s="12"/>
      <c r="C30" s="12"/>
      <c r="D30" s="12"/>
      <c r="E30" s="12"/>
      <c r="F30" s="12"/>
      <c r="G30" s="12"/>
      <c r="H30" s="12"/>
      <c r="I30" s="12"/>
      <c r="J30" s="12"/>
      <c r="K30" s="1"/>
      <c r="L30" s="1"/>
      <c r="M30" s="1"/>
      <c r="N30" s="1"/>
    </row>
    <row r="31" spans="1:14" ht="14.45" customHeight="1" x14ac:dyDescent="0.4">
      <c r="A31" s="1"/>
      <c r="B31" s="12"/>
      <c r="C31" s="12"/>
      <c r="D31" s="12"/>
      <c r="E31" s="12"/>
      <c r="F31" s="12"/>
      <c r="G31" s="12"/>
      <c r="H31" s="12"/>
      <c r="I31" s="12"/>
      <c r="J31" s="12"/>
      <c r="K31" s="1"/>
      <c r="L31" s="1"/>
      <c r="M31" s="1"/>
      <c r="N31" s="1"/>
    </row>
    <row r="32" spans="1:14" ht="14.45" customHeight="1" x14ac:dyDescent="0.4">
      <c r="A32" s="1"/>
      <c r="B32" s="12"/>
      <c r="C32" s="12"/>
      <c r="D32" s="12"/>
      <c r="E32" s="12"/>
      <c r="F32" s="12"/>
      <c r="G32" s="12"/>
      <c r="H32" s="12"/>
      <c r="I32" s="12"/>
      <c r="J32" s="12"/>
      <c r="K32" s="1"/>
      <c r="L32" s="1"/>
      <c r="M32" s="1"/>
      <c r="N32" s="1"/>
    </row>
    <row r="33" spans="1:14" ht="14.45" customHeight="1" x14ac:dyDescent="0.4">
      <c r="A33" s="1"/>
      <c r="B33" s="12"/>
      <c r="C33" s="12"/>
      <c r="D33" s="12"/>
      <c r="E33" s="12"/>
      <c r="F33" s="12"/>
      <c r="G33" s="12"/>
      <c r="H33" s="12"/>
      <c r="I33" s="12"/>
      <c r="J33" s="12"/>
      <c r="K33" s="1"/>
      <c r="L33" s="1"/>
      <c r="M33" s="1"/>
      <c r="N33" s="1"/>
    </row>
    <row r="34" spans="1:14" ht="14.45" customHeight="1" x14ac:dyDescent="0.4">
      <c r="A34" s="1"/>
      <c r="B34" s="12"/>
      <c r="C34" s="12"/>
      <c r="D34" s="12"/>
      <c r="E34" s="12"/>
      <c r="F34" s="12"/>
      <c r="G34" s="12"/>
      <c r="H34" s="12"/>
      <c r="I34" s="12"/>
      <c r="J34" s="12"/>
      <c r="K34" s="1"/>
      <c r="L34" s="1"/>
      <c r="M34" s="1"/>
      <c r="N34" s="1"/>
    </row>
    <row r="35" spans="1:14" ht="14.45" customHeight="1" x14ac:dyDescent="0.4">
      <c r="A35" s="1"/>
      <c r="B35" s="12"/>
      <c r="C35" s="12"/>
      <c r="D35" s="12"/>
      <c r="E35" s="12"/>
      <c r="F35" s="12"/>
      <c r="G35" s="12"/>
      <c r="H35" s="12"/>
      <c r="I35" s="12"/>
      <c r="J35" s="12"/>
      <c r="K35" s="1"/>
      <c r="L35" s="1"/>
      <c r="M35" s="1"/>
      <c r="N35" s="1"/>
    </row>
    <row r="36" spans="1:14" ht="14.45" customHeight="1" x14ac:dyDescent="0.4">
      <c r="A36" s="1"/>
      <c r="B36" s="12"/>
      <c r="C36" s="12"/>
      <c r="D36" s="12"/>
      <c r="E36" s="12"/>
      <c r="F36" s="12"/>
      <c r="G36" s="12"/>
      <c r="H36" s="12"/>
      <c r="I36" s="12"/>
      <c r="J36" s="12"/>
      <c r="K36" s="1"/>
      <c r="L36" s="1"/>
      <c r="M36" s="1"/>
      <c r="N36" s="1"/>
    </row>
    <row r="37" spans="1:14" ht="14.45" customHeight="1" x14ac:dyDescent="0.4">
      <c r="A37" s="1"/>
      <c r="B37" s="12"/>
      <c r="C37" s="12"/>
      <c r="D37" s="12"/>
      <c r="E37" s="12"/>
      <c r="F37" s="12"/>
      <c r="G37" s="12"/>
      <c r="H37" s="12"/>
      <c r="I37" s="12"/>
      <c r="J37" s="12"/>
      <c r="K37" s="1"/>
      <c r="L37" s="1"/>
      <c r="M37" s="1"/>
      <c r="N37" s="1"/>
    </row>
    <row r="38" spans="1:14" ht="14.45" customHeight="1" x14ac:dyDescent="0.4">
      <c r="A38" s="1"/>
      <c r="B38" s="12"/>
      <c r="C38" s="12"/>
      <c r="D38" s="12"/>
      <c r="E38" s="12"/>
      <c r="F38" s="12"/>
      <c r="G38" s="12"/>
      <c r="H38" s="12"/>
      <c r="I38" s="12"/>
      <c r="J38" s="12"/>
      <c r="K38" s="1"/>
      <c r="L38" s="1"/>
      <c r="M38" s="1"/>
      <c r="N38" s="1"/>
    </row>
    <row r="39" spans="1:14" ht="14.45" customHeight="1" x14ac:dyDescent="0.4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"/>
      <c r="L39" s="1"/>
      <c r="M39" s="1"/>
      <c r="N39" s="1"/>
    </row>
    <row r="40" spans="1:14" ht="14.45" customHeight="1" x14ac:dyDescent="0.4">
      <c r="A40" s="1"/>
      <c r="B40" s="12"/>
      <c r="C40" s="12"/>
      <c r="D40" s="12"/>
      <c r="E40" s="12"/>
      <c r="F40" s="12"/>
      <c r="G40" s="12"/>
      <c r="H40" s="12"/>
      <c r="I40" s="12"/>
      <c r="J40" s="12"/>
      <c r="K40" s="1"/>
      <c r="L40" s="1"/>
      <c r="M40" s="1"/>
      <c r="N40" s="1"/>
    </row>
    <row r="41" spans="1:14" ht="14.45" customHeight="1" x14ac:dyDescent="0.4">
      <c r="A41" s="1"/>
      <c r="B41" s="12"/>
      <c r="C41" s="12"/>
      <c r="D41" s="12"/>
      <c r="E41" s="12"/>
      <c r="F41" s="12"/>
      <c r="G41" s="12"/>
      <c r="H41" s="12"/>
      <c r="I41" s="12"/>
      <c r="J41" s="12"/>
      <c r="K41" s="1"/>
      <c r="L41" s="1"/>
      <c r="M41" s="1"/>
      <c r="N41" s="1"/>
    </row>
    <row r="42" spans="1:14" ht="14.45" customHeight="1" x14ac:dyDescent="0.4">
      <c r="A42" s="1"/>
      <c r="B42" s="12"/>
      <c r="C42" s="12"/>
      <c r="D42" s="12"/>
      <c r="E42" s="12"/>
      <c r="F42" s="12"/>
      <c r="G42" s="12"/>
      <c r="H42" s="12"/>
      <c r="I42" s="12"/>
      <c r="J42" s="12"/>
      <c r="K42" s="1"/>
      <c r="L42" s="1"/>
      <c r="M42" s="1"/>
      <c r="N42" s="1"/>
    </row>
    <row r="43" spans="1:14" ht="14.45" customHeight="1" x14ac:dyDescent="0.4">
      <c r="A43" s="1"/>
      <c r="B43" s="12"/>
      <c r="C43" s="12"/>
      <c r="D43" s="12"/>
      <c r="E43" s="12"/>
      <c r="F43" s="12"/>
      <c r="G43" s="12"/>
      <c r="H43" s="12"/>
      <c r="I43" s="12"/>
      <c r="J43" s="12"/>
      <c r="K43" s="1"/>
      <c r="L43" s="1"/>
      <c r="M43" s="1"/>
      <c r="N43" s="1"/>
    </row>
    <row r="44" spans="1:14" ht="14.45" customHeight="1" x14ac:dyDescent="0.4">
      <c r="A44" s="1"/>
      <c r="B44" s="12"/>
      <c r="C44" s="12"/>
      <c r="D44" s="12"/>
      <c r="E44" s="12"/>
      <c r="F44" s="12"/>
      <c r="G44" s="12"/>
      <c r="H44" s="12"/>
      <c r="I44" s="12"/>
      <c r="J44" s="12"/>
      <c r="K44" s="1"/>
      <c r="L44" s="1"/>
      <c r="M44" s="1"/>
      <c r="N44" s="1"/>
    </row>
    <row r="45" spans="1:14" ht="14.45" customHeight="1" x14ac:dyDescent="0.4">
      <c r="A45" s="1"/>
      <c r="B45" s="12"/>
      <c r="C45" s="12"/>
      <c r="D45" s="12"/>
      <c r="E45" s="12"/>
      <c r="F45" s="12"/>
      <c r="G45" s="12"/>
      <c r="H45" s="12"/>
      <c r="I45" s="12"/>
      <c r="J45" s="12"/>
      <c r="K45" s="1"/>
      <c r="L45" s="1"/>
      <c r="M45" s="1"/>
      <c r="N45" s="1"/>
    </row>
    <row r="46" spans="1:14" ht="14.45" customHeight="1" x14ac:dyDescent="0.4">
      <c r="A46" s="1"/>
      <c r="B46" s="12"/>
      <c r="C46" s="12"/>
      <c r="D46" s="12"/>
      <c r="E46" s="12"/>
      <c r="F46" s="12"/>
      <c r="G46" s="12"/>
      <c r="H46" s="12"/>
      <c r="I46" s="12"/>
      <c r="J46" s="12"/>
      <c r="K46" s="1"/>
      <c r="L46" s="1"/>
      <c r="M46" s="1"/>
      <c r="N46" s="1"/>
    </row>
    <row r="47" spans="1:14" ht="14.45" customHeight="1" x14ac:dyDescent="0.4">
      <c r="A47" s="1"/>
      <c r="B47" s="12"/>
      <c r="C47" s="12"/>
      <c r="D47" s="12"/>
      <c r="E47" s="12"/>
      <c r="F47" s="12"/>
      <c r="G47" s="12"/>
      <c r="H47" s="12"/>
      <c r="I47" s="12"/>
      <c r="J47" s="12"/>
      <c r="K47" s="1"/>
      <c r="L47" s="1"/>
      <c r="M47" s="1"/>
      <c r="N47" s="1"/>
    </row>
    <row r="48" spans="1:14" ht="14.45" customHeight="1" x14ac:dyDescent="0.4">
      <c r="A48" s="1"/>
      <c r="B48" s="12"/>
      <c r="C48" s="12"/>
      <c r="D48" s="12"/>
      <c r="E48" s="12"/>
      <c r="F48" s="12"/>
      <c r="G48" s="12"/>
      <c r="H48" s="12"/>
      <c r="I48" s="12"/>
      <c r="J48" s="12"/>
      <c r="K48" s="1"/>
      <c r="L48" s="1"/>
      <c r="M48" s="1"/>
      <c r="N48" s="1"/>
    </row>
    <row r="49" spans="1:14" ht="14.45" customHeight="1" x14ac:dyDescent="0.4">
      <c r="A49" s="1"/>
      <c r="B49" s="12"/>
      <c r="C49" s="12"/>
      <c r="D49" s="12"/>
      <c r="E49" s="12"/>
      <c r="F49" s="12"/>
      <c r="G49" s="12"/>
      <c r="H49" s="12"/>
      <c r="I49" s="12"/>
      <c r="J49" s="12"/>
      <c r="K49" s="1"/>
      <c r="L49" s="1"/>
      <c r="M49" s="1"/>
      <c r="N49" s="1"/>
    </row>
    <row r="50" spans="1:14" ht="14.45" customHeight="1" x14ac:dyDescent="0.4">
      <c r="A50" s="1"/>
      <c r="B50" s="12"/>
      <c r="C50" s="12"/>
      <c r="D50" s="12"/>
      <c r="E50" s="12"/>
      <c r="F50" s="12"/>
      <c r="G50" s="12"/>
      <c r="H50" s="12"/>
      <c r="I50" s="12"/>
      <c r="J50" s="12"/>
      <c r="K50" s="1"/>
      <c r="L50" s="1"/>
      <c r="M50" s="1"/>
      <c r="N50" s="1"/>
    </row>
    <row r="51" spans="1:14" ht="14.45" customHeight="1" x14ac:dyDescent="0.4">
      <c r="A51" s="1"/>
      <c r="B51" s="12"/>
      <c r="C51" s="12"/>
      <c r="D51" s="12"/>
      <c r="E51" s="12"/>
      <c r="F51" s="12"/>
      <c r="G51" s="12"/>
      <c r="H51" s="12"/>
      <c r="I51" s="12"/>
      <c r="J51" s="12"/>
      <c r="K51" s="1"/>
      <c r="L51" s="1"/>
      <c r="M51" s="1"/>
      <c r="N51" s="1"/>
    </row>
    <row r="52" spans="1:14" ht="14.45" customHeight="1" x14ac:dyDescent="0.4">
      <c r="A52" s="1"/>
      <c r="B52" s="12"/>
      <c r="C52" s="12"/>
      <c r="D52" s="12"/>
      <c r="E52" s="12"/>
      <c r="F52" s="12"/>
      <c r="G52" s="12"/>
      <c r="H52" s="12"/>
      <c r="I52" s="12"/>
      <c r="J52" s="12"/>
      <c r="K52" s="1"/>
      <c r="L52" s="1"/>
      <c r="M52" s="1"/>
      <c r="N52" s="1"/>
    </row>
    <row r="53" spans="1:14" ht="14.45" customHeight="1" x14ac:dyDescent="0.4">
      <c r="A53" s="1"/>
      <c r="B53" s="12"/>
      <c r="C53" s="12"/>
      <c r="D53" s="12"/>
      <c r="E53" s="12"/>
      <c r="F53" s="12"/>
      <c r="G53" s="12"/>
      <c r="H53" s="12"/>
      <c r="I53" s="12"/>
      <c r="J53" s="12"/>
      <c r="K53" s="1"/>
      <c r="L53" s="1"/>
      <c r="M53" s="1"/>
      <c r="N53" s="1"/>
    </row>
    <row r="54" spans="1:14" ht="14.45" customHeight="1" x14ac:dyDescent="0.4">
      <c r="A54" s="1"/>
      <c r="B54" s="12"/>
      <c r="C54" s="12"/>
      <c r="D54" s="12"/>
      <c r="E54" s="12"/>
      <c r="F54" s="12"/>
      <c r="G54" s="12"/>
      <c r="H54" s="12"/>
      <c r="I54" s="12"/>
      <c r="J54" s="12"/>
      <c r="K54" s="1"/>
      <c r="L54" s="1"/>
      <c r="M54" s="1"/>
      <c r="N54" s="1"/>
    </row>
    <row r="55" spans="1:14" ht="14.45" customHeight="1" x14ac:dyDescent="0.4">
      <c r="A55" s="1"/>
      <c r="B55" s="12"/>
      <c r="C55" s="12"/>
      <c r="D55" s="12"/>
      <c r="E55" s="12"/>
      <c r="F55" s="12"/>
      <c r="G55" s="12"/>
      <c r="H55" s="12"/>
      <c r="I55" s="12"/>
      <c r="J55" s="12"/>
      <c r="K55" s="1"/>
      <c r="L55" s="1"/>
      <c r="M55" s="1"/>
      <c r="N55" s="1"/>
    </row>
    <row r="56" spans="1:14" ht="14.45" customHeight="1" x14ac:dyDescent="0.4">
      <c r="A56" s="1"/>
      <c r="B56" s="12"/>
      <c r="C56" s="12"/>
      <c r="D56" s="12"/>
      <c r="E56" s="12"/>
      <c r="F56" s="12"/>
      <c r="G56" s="12"/>
      <c r="H56" s="12"/>
      <c r="I56" s="12"/>
      <c r="J56" s="12"/>
      <c r="K56" s="1"/>
      <c r="L56" s="1"/>
      <c r="M56" s="1"/>
      <c r="N56" s="1"/>
    </row>
    <row r="57" spans="1:14" ht="14.45" customHeight="1" x14ac:dyDescent="0.4">
      <c r="A57" s="1"/>
      <c r="B57" s="12"/>
      <c r="C57" s="12"/>
      <c r="D57" s="12"/>
      <c r="E57" s="12"/>
      <c r="F57" s="12"/>
      <c r="G57" s="12"/>
      <c r="H57" s="12"/>
      <c r="I57" s="12"/>
      <c r="J57" s="12"/>
      <c r="K57" s="1"/>
      <c r="L57" s="1"/>
      <c r="M57" s="1"/>
      <c r="N57" s="1"/>
    </row>
    <row r="58" spans="1:14" ht="14.45" customHeight="1" x14ac:dyDescent="0.4">
      <c r="A58" s="1"/>
      <c r="B58" s="12"/>
      <c r="C58" s="12"/>
      <c r="D58" s="12"/>
      <c r="E58" s="12"/>
      <c r="F58" s="12"/>
      <c r="G58" s="12"/>
      <c r="H58" s="12"/>
      <c r="I58" s="12"/>
      <c r="J58" s="12"/>
      <c r="K58" s="1"/>
      <c r="L58" s="1"/>
      <c r="M58" s="1"/>
      <c r="N58" s="1"/>
    </row>
    <row r="59" spans="1:14" ht="14.45" customHeight="1" x14ac:dyDescent="0.4">
      <c r="A59" s="1"/>
      <c r="B59" s="12"/>
      <c r="C59" s="12"/>
      <c r="D59" s="12"/>
      <c r="E59" s="12"/>
      <c r="F59" s="12"/>
      <c r="G59" s="12"/>
      <c r="H59" s="12"/>
      <c r="I59" s="12"/>
      <c r="J59" s="12"/>
      <c r="K59" s="1"/>
      <c r="L59" s="1"/>
      <c r="M59" s="1"/>
      <c r="N59" s="1"/>
    </row>
    <row r="60" spans="1:14" ht="14.45" customHeight="1" x14ac:dyDescent="0.4">
      <c r="A60" s="1"/>
      <c r="B60" s="12"/>
      <c r="C60" s="12"/>
      <c r="D60" s="12"/>
      <c r="E60" s="12"/>
      <c r="F60" s="12"/>
      <c r="G60" s="12"/>
      <c r="H60" s="12"/>
      <c r="I60" s="12"/>
      <c r="J60" s="12"/>
      <c r="K60" s="1"/>
      <c r="L60" s="1"/>
      <c r="M60" s="1"/>
      <c r="N60" s="1"/>
    </row>
    <row r="61" spans="1:14" ht="14.45" customHeight="1" x14ac:dyDescent="0.4">
      <c r="A61" s="1"/>
      <c r="B61" s="12"/>
      <c r="C61" s="12"/>
      <c r="D61" s="12"/>
      <c r="E61" s="12"/>
      <c r="F61" s="12"/>
      <c r="G61" s="12"/>
      <c r="H61" s="12"/>
      <c r="I61" s="12"/>
      <c r="J61" s="12"/>
      <c r="K61" s="1"/>
      <c r="L61" s="1"/>
      <c r="M61" s="1"/>
      <c r="N61" s="1"/>
    </row>
    <row r="62" spans="1:14" ht="14.45" customHeight="1" x14ac:dyDescent="0.4">
      <c r="A62" s="1"/>
      <c r="B62" s="12"/>
      <c r="C62" s="12"/>
      <c r="D62" s="12"/>
      <c r="E62" s="12"/>
      <c r="F62" s="12"/>
      <c r="G62" s="12"/>
      <c r="H62" s="12"/>
      <c r="I62" s="12"/>
      <c r="J62" s="12"/>
      <c r="K62" s="1"/>
      <c r="L62" s="1"/>
      <c r="M62" s="1"/>
      <c r="N62" s="1"/>
    </row>
    <row r="63" spans="1:14" ht="14.45" customHeight="1" x14ac:dyDescent="0.4">
      <c r="A63" s="1"/>
      <c r="B63" s="12"/>
      <c r="C63" s="12"/>
      <c r="D63" s="12"/>
      <c r="E63" s="12"/>
      <c r="F63" s="12"/>
      <c r="G63" s="12"/>
      <c r="H63" s="12"/>
      <c r="I63" s="12"/>
      <c r="J63" s="12"/>
      <c r="K63" s="1"/>
      <c r="L63" s="1"/>
      <c r="M63" s="1"/>
      <c r="N63" s="1"/>
    </row>
    <row r="64" spans="1:14" ht="14.45" customHeight="1" x14ac:dyDescent="0.4">
      <c r="A64" s="1"/>
      <c r="B64" s="12"/>
      <c r="C64" s="12"/>
      <c r="D64" s="12"/>
      <c r="E64" s="12"/>
      <c r="F64" s="12"/>
      <c r="G64" s="12"/>
      <c r="H64" s="12"/>
      <c r="I64" s="12"/>
      <c r="J64" s="12"/>
      <c r="K64" s="1"/>
      <c r="L64" s="1"/>
      <c r="M64" s="1"/>
      <c r="N64" s="1"/>
    </row>
    <row r="65" spans="1:14" ht="14.45" customHeight="1" x14ac:dyDescent="0.4">
      <c r="A65" s="1"/>
      <c r="B65" s="12"/>
      <c r="C65" s="12"/>
      <c r="D65" s="12"/>
      <c r="E65" s="12"/>
      <c r="F65" s="12"/>
      <c r="G65" s="12"/>
      <c r="H65" s="12"/>
      <c r="I65" s="12"/>
      <c r="J65" s="12"/>
      <c r="K65" s="1"/>
      <c r="L65" s="1"/>
      <c r="M65" s="1"/>
      <c r="N65" s="1"/>
    </row>
    <row r="66" spans="1:14" ht="14.45" customHeight="1" x14ac:dyDescent="0.4">
      <c r="A66" s="1"/>
      <c r="B66" s="12"/>
      <c r="C66" s="12"/>
      <c r="D66" s="12"/>
      <c r="E66" s="12"/>
      <c r="F66" s="12"/>
      <c r="G66" s="12"/>
      <c r="H66" s="12"/>
      <c r="I66" s="12"/>
      <c r="J66" s="12"/>
      <c r="K66" s="1"/>
      <c r="L66" s="1"/>
      <c r="M66" s="1"/>
      <c r="N66" s="1"/>
    </row>
    <row r="67" spans="1:14" ht="14.45" customHeight="1" x14ac:dyDescent="0.4">
      <c r="A67" s="1"/>
      <c r="B67" s="12"/>
      <c r="C67" s="12"/>
      <c r="D67" s="12"/>
      <c r="E67" s="12"/>
      <c r="F67" s="12"/>
      <c r="G67" s="12"/>
      <c r="H67" s="12"/>
      <c r="I67" s="12"/>
      <c r="J67" s="12"/>
      <c r="K67" s="1"/>
      <c r="L67" s="1"/>
      <c r="M67" s="1"/>
      <c r="N67" s="1"/>
    </row>
    <row r="68" spans="1:14" ht="14.45" customHeight="1" x14ac:dyDescent="0.4">
      <c r="A68" s="1"/>
      <c r="B68" s="12"/>
      <c r="C68" s="12"/>
      <c r="D68" s="12"/>
      <c r="E68" s="12"/>
      <c r="F68" s="12"/>
      <c r="G68" s="12"/>
      <c r="H68" s="12"/>
      <c r="I68" s="12"/>
      <c r="J68" s="12"/>
      <c r="K68" s="1"/>
      <c r="L68" s="1"/>
      <c r="M68" s="1"/>
      <c r="N68" s="1"/>
    </row>
    <row r="69" spans="1:14" ht="14.45" customHeight="1" x14ac:dyDescent="0.4">
      <c r="A69" s="1"/>
      <c r="B69" s="12"/>
      <c r="C69" s="12"/>
      <c r="D69" s="12"/>
      <c r="E69" s="12"/>
      <c r="F69" s="12"/>
      <c r="G69" s="12"/>
      <c r="H69" s="12"/>
      <c r="I69" s="12"/>
      <c r="J69" s="12"/>
      <c r="K69" s="1"/>
      <c r="L69" s="1"/>
      <c r="M69" s="1"/>
      <c r="N69" s="1"/>
    </row>
    <row r="70" spans="1:14" ht="14.45" customHeight="1" x14ac:dyDescent="0.4">
      <c r="A70" s="1"/>
      <c r="B70" s="12"/>
      <c r="C70" s="12"/>
      <c r="D70" s="12"/>
      <c r="E70" s="12"/>
      <c r="F70" s="12"/>
      <c r="G70" s="12"/>
      <c r="H70" s="12"/>
      <c r="I70" s="12"/>
      <c r="J70" s="12"/>
      <c r="K70" s="1"/>
      <c r="L70" s="1"/>
      <c r="M70" s="1"/>
      <c r="N70" s="1"/>
    </row>
    <row r="71" spans="1:14" ht="14.45" customHeight="1" x14ac:dyDescent="0.4">
      <c r="A71" s="1"/>
      <c r="B71" s="12"/>
      <c r="C71" s="12"/>
      <c r="D71" s="12"/>
      <c r="E71" s="12"/>
      <c r="F71" s="12"/>
      <c r="G71" s="12"/>
      <c r="H71" s="12"/>
      <c r="I71" s="12"/>
      <c r="J71" s="12"/>
      <c r="K71" s="1"/>
      <c r="L71" s="1"/>
      <c r="M71" s="1"/>
      <c r="N71" s="1"/>
    </row>
    <row r="72" spans="1:14" ht="14.45" customHeight="1" x14ac:dyDescent="0.4">
      <c r="A72" s="1"/>
      <c r="B72" s="12"/>
      <c r="C72" s="12"/>
      <c r="D72" s="12"/>
      <c r="E72" s="12"/>
      <c r="F72" s="12"/>
      <c r="G72" s="12"/>
      <c r="H72" s="12"/>
      <c r="I72" s="12"/>
      <c r="J72" s="12"/>
      <c r="K72" s="1"/>
      <c r="L72" s="1"/>
      <c r="M72" s="1"/>
      <c r="N72" s="1"/>
    </row>
    <row r="73" spans="1:14" ht="14.45" customHeight="1" x14ac:dyDescent="0.4">
      <c r="A73" s="1"/>
      <c r="B73" s="12"/>
      <c r="C73" s="12"/>
      <c r="D73" s="12"/>
      <c r="E73" s="12"/>
      <c r="F73" s="12"/>
      <c r="G73" s="12"/>
      <c r="H73" s="12"/>
      <c r="I73" s="12"/>
      <c r="J73" s="12"/>
      <c r="K73" s="1"/>
      <c r="L73" s="1"/>
      <c r="M73" s="1"/>
      <c r="N73" s="1"/>
    </row>
    <row r="74" spans="1:14" ht="14.45" customHeight="1" x14ac:dyDescent="0.4">
      <c r="A74" s="1"/>
      <c r="B74" s="12"/>
      <c r="C74" s="12"/>
      <c r="D74" s="12"/>
      <c r="E74" s="12"/>
      <c r="F74" s="12"/>
      <c r="G74" s="12"/>
      <c r="H74" s="12"/>
      <c r="I74" s="12"/>
      <c r="J74" s="12"/>
      <c r="K74" s="1"/>
      <c r="L74" s="1"/>
      <c r="M74" s="1"/>
      <c r="N74" s="1"/>
    </row>
    <row r="75" spans="1:14" ht="14.45" customHeight="1" x14ac:dyDescent="0.4">
      <c r="A75" s="1"/>
      <c r="B75" s="12"/>
      <c r="C75" s="12"/>
      <c r="D75" s="12"/>
      <c r="E75" s="12"/>
      <c r="F75" s="12"/>
      <c r="G75" s="12"/>
      <c r="H75" s="12"/>
      <c r="I75" s="12"/>
      <c r="J75" s="12"/>
      <c r="K75" s="1"/>
      <c r="L75" s="1"/>
      <c r="M75" s="1"/>
      <c r="N75" s="1"/>
    </row>
    <row r="76" spans="1:14" ht="14.45" customHeight="1" x14ac:dyDescent="0.4">
      <c r="A76" s="1"/>
      <c r="B76" s="12"/>
      <c r="C76" s="12"/>
      <c r="D76" s="12"/>
      <c r="E76" s="12"/>
      <c r="F76" s="12"/>
      <c r="G76" s="12"/>
      <c r="H76" s="12"/>
      <c r="I76" s="12"/>
      <c r="J76" s="12"/>
      <c r="K76" s="1"/>
      <c r="L76" s="1"/>
      <c r="M76" s="1"/>
      <c r="N76" s="1"/>
    </row>
    <row r="77" spans="1:14" ht="14.45" customHeight="1" x14ac:dyDescent="0.4">
      <c r="A77" s="1"/>
      <c r="B77" s="12"/>
      <c r="C77" s="12"/>
      <c r="D77" s="12"/>
      <c r="E77" s="12"/>
      <c r="F77" s="12"/>
      <c r="G77" s="12"/>
      <c r="H77" s="12"/>
      <c r="I77" s="12"/>
      <c r="J77" s="12"/>
      <c r="K77" s="1"/>
      <c r="L77" s="1"/>
      <c r="M77" s="1"/>
      <c r="N77" s="1"/>
    </row>
    <row r="78" spans="1:14" ht="14.45" customHeight="1" x14ac:dyDescent="0.4">
      <c r="A78" s="1"/>
      <c r="B78" s="12"/>
      <c r="C78" s="12"/>
      <c r="D78" s="12"/>
      <c r="E78" s="12"/>
      <c r="F78" s="12"/>
      <c r="G78" s="12"/>
      <c r="H78" s="12"/>
      <c r="I78" s="12"/>
      <c r="J78" s="12"/>
      <c r="K78" s="1"/>
      <c r="L78" s="1"/>
      <c r="M78" s="1"/>
      <c r="N78" s="1"/>
    </row>
    <row r="79" spans="1:14" ht="14.45" customHeight="1" x14ac:dyDescent="0.4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"/>
      <c r="L79" s="1"/>
      <c r="M79" s="1"/>
      <c r="N79" s="1"/>
    </row>
    <row r="80" spans="1:14" ht="14.45" customHeight="1" x14ac:dyDescent="0.4">
      <c r="A80" s="1"/>
      <c r="B80" s="12"/>
      <c r="C80" s="12"/>
      <c r="D80" s="12"/>
      <c r="E80" s="12"/>
      <c r="F80" s="12"/>
      <c r="G80" s="12"/>
      <c r="H80" s="12"/>
      <c r="I80" s="12"/>
      <c r="J80" s="12"/>
      <c r="K80" s="1"/>
      <c r="L80" s="1"/>
      <c r="M80" s="1"/>
      <c r="N80" s="1"/>
    </row>
    <row r="81" spans="1:14" ht="14.45" customHeight="1" x14ac:dyDescent="0.4">
      <c r="A81" s="1"/>
      <c r="B81" s="12"/>
      <c r="C81" s="12"/>
      <c r="D81" s="12"/>
      <c r="E81" s="12"/>
      <c r="F81" s="12"/>
      <c r="G81" s="12"/>
      <c r="H81" s="12"/>
      <c r="I81" s="12"/>
      <c r="J81" s="12"/>
      <c r="K81" s="1"/>
      <c r="L81" s="1"/>
      <c r="M81" s="1"/>
      <c r="N81" s="1"/>
    </row>
    <row r="82" spans="1:14" ht="14.45" customHeight="1" x14ac:dyDescent="0.4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"/>
      <c r="L82" s="1"/>
      <c r="M82" s="1"/>
      <c r="N82" s="1"/>
    </row>
    <row r="83" spans="1:14" ht="14.45" customHeight="1" x14ac:dyDescent="0.4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"/>
      <c r="L83" s="1"/>
      <c r="M83" s="1"/>
      <c r="N83" s="1"/>
    </row>
    <row r="84" spans="1:14" ht="14.45" customHeight="1" x14ac:dyDescent="0.4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"/>
      <c r="L84" s="1"/>
      <c r="M84" s="1"/>
      <c r="N84" s="1"/>
    </row>
    <row r="85" spans="1:14" ht="14.45" customHeight="1" x14ac:dyDescent="0.4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"/>
      <c r="L85" s="1"/>
      <c r="M85" s="1"/>
      <c r="N85" s="1"/>
    </row>
    <row r="86" spans="1:14" ht="14.45" customHeight="1" x14ac:dyDescent="0.4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"/>
      <c r="L86" s="1"/>
      <c r="M86" s="1"/>
      <c r="N86" s="1"/>
    </row>
    <row r="87" spans="1:14" ht="14.45" customHeight="1" x14ac:dyDescent="0.4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"/>
      <c r="L87" s="1"/>
      <c r="M87" s="1"/>
      <c r="N87" s="1"/>
    </row>
    <row r="88" spans="1:14" ht="14.45" customHeight="1" x14ac:dyDescent="0.4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"/>
      <c r="L88" s="1"/>
      <c r="M88" s="1"/>
      <c r="N88" s="1"/>
    </row>
    <row r="89" spans="1:14" ht="14.45" customHeight="1" x14ac:dyDescent="0.4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"/>
      <c r="L89" s="1"/>
      <c r="M89" s="1"/>
      <c r="N89" s="1"/>
    </row>
    <row r="90" spans="1:14" ht="14.45" customHeight="1" x14ac:dyDescent="0.4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"/>
      <c r="L90" s="1"/>
      <c r="M90" s="1"/>
      <c r="N90" s="1"/>
    </row>
    <row r="91" spans="1:14" ht="14.45" customHeight="1" x14ac:dyDescent="0.4">
      <c r="A91" s="1"/>
      <c r="B91" s="12"/>
      <c r="C91" s="12"/>
      <c r="D91" s="12"/>
      <c r="E91" s="12"/>
      <c r="F91" s="12"/>
      <c r="G91" s="12"/>
      <c r="H91" s="12"/>
      <c r="I91" s="12"/>
      <c r="J91" s="12"/>
      <c r="K91" s="1"/>
      <c r="L91" s="1"/>
      <c r="M91" s="1"/>
      <c r="N91" s="1"/>
    </row>
    <row r="92" spans="1:14" ht="14.45" customHeight="1" x14ac:dyDescent="0.4">
      <c r="A92" s="1"/>
      <c r="B92" s="12"/>
      <c r="C92" s="12"/>
      <c r="D92" s="12"/>
      <c r="E92" s="12"/>
      <c r="F92" s="12"/>
      <c r="G92" s="12"/>
      <c r="H92" s="12"/>
      <c r="I92" s="12"/>
      <c r="J92" s="12"/>
      <c r="K92" s="1"/>
      <c r="L92" s="1"/>
      <c r="M92" s="1"/>
      <c r="N92" s="1"/>
    </row>
    <row r="93" spans="1:14" ht="14.45" customHeight="1" x14ac:dyDescent="0.4">
      <c r="A93" s="1"/>
      <c r="B93" s="12"/>
      <c r="C93" s="12"/>
      <c r="D93" s="12"/>
      <c r="E93" s="12"/>
      <c r="F93" s="12"/>
      <c r="G93" s="12"/>
      <c r="H93" s="12"/>
      <c r="I93" s="12"/>
      <c r="J93" s="12"/>
      <c r="K93" s="1"/>
      <c r="L93" s="1"/>
      <c r="M93" s="1"/>
      <c r="N93" s="1"/>
    </row>
    <row r="94" spans="1:14" ht="14.45" customHeight="1" x14ac:dyDescent="0.4">
      <c r="A94" s="1"/>
      <c r="B94" s="12"/>
      <c r="C94" s="12"/>
      <c r="D94" s="12"/>
      <c r="E94" s="12"/>
      <c r="F94" s="12"/>
      <c r="G94" s="12"/>
      <c r="H94" s="12"/>
      <c r="I94" s="12"/>
      <c r="J94" s="12"/>
      <c r="K94" s="1"/>
      <c r="L94" s="1"/>
      <c r="M94" s="1"/>
      <c r="N94" s="1"/>
    </row>
    <row r="95" spans="1:14" ht="14.45" customHeight="1" x14ac:dyDescent="0.4">
      <c r="A95" s="1"/>
      <c r="B95" s="12"/>
      <c r="C95" s="12"/>
      <c r="D95" s="12"/>
      <c r="E95" s="12"/>
      <c r="F95" s="12"/>
      <c r="G95" s="12"/>
      <c r="H95" s="12"/>
      <c r="I95" s="12"/>
      <c r="J95" s="12"/>
      <c r="K95" s="1"/>
      <c r="L95" s="1"/>
      <c r="M95" s="1"/>
      <c r="N95" s="1"/>
    </row>
    <row r="96" spans="1:14" ht="14.45" customHeight="1" x14ac:dyDescent="0.4">
      <c r="A96" s="1"/>
      <c r="B96" s="12"/>
      <c r="C96" s="12"/>
      <c r="D96" s="12"/>
      <c r="E96" s="12"/>
      <c r="F96" s="12"/>
      <c r="G96" s="12"/>
      <c r="H96" s="12"/>
      <c r="I96" s="12"/>
      <c r="J96" s="12"/>
      <c r="K96" s="1"/>
      <c r="L96" s="1"/>
      <c r="M96" s="1"/>
      <c r="N96" s="1"/>
    </row>
    <row r="97" spans="1:14" ht="14.45" customHeight="1" x14ac:dyDescent="0.4">
      <c r="A97" s="1"/>
      <c r="B97" s="12"/>
      <c r="C97" s="12"/>
      <c r="D97" s="12"/>
      <c r="E97" s="12"/>
      <c r="F97" s="12"/>
      <c r="G97" s="12"/>
      <c r="H97" s="12"/>
      <c r="I97" s="12"/>
      <c r="J97" s="12"/>
      <c r="K97" s="1"/>
      <c r="L97" s="1"/>
      <c r="M97" s="1"/>
      <c r="N97" s="1"/>
    </row>
    <row r="98" spans="1:14" ht="14.45" customHeight="1" x14ac:dyDescent="0.4">
      <c r="A98" s="1"/>
      <c r="B98" s="12"/>
      <c r="C98" s="12"/>
      <c r="D98" s="12"/>
      <c r="E98" s="12"/>
      <c r="F98" s="12"/>
      <c r="G98" s="12"/>
      <c r="H98" s="12"/>
      <c r="I98" s="12"/>
      <c r="J98" s="12"/>
      <c r="K98" s="1"/>
      <c r="L98" s="1"/>
      <c r="M98" s="1"/>
      <c r="N98" s="1"/>
    </row>
    <row r="99" spans="1:14" ht="14.45" customHeight="1" x14ac:dyDescent="0.4">
      <c r="A99" s="1"/>
      <c r="B99" s="12"/>
      <c r="C99" s="12"/>
      <c r="D99" s="12"/>
      <c r="E99" s="12"/>
      <c r="F99" s="12"/>
      <c r="G99" s="12"/>
      <c r="H99" s="12"/>
      <c r="I99" s="12"/>
      <c r="J99" s="12"/>
      <c r="K99" s="1"/>
      <c r="L99" s="1"/>
      <c r="M99" s="1"/>
      <c r="N99" s="1"/>
    </row>
    <row r="100" spans="1:14" ht="14.45" customHeight="1" x14ac:dyDescent="0.4">
      <c r="A100" s="1"/>
      <c r="B100" s="12"/>
      <c r="C100" s="12"/>
      <c r="D100" s="12"/>
      <c r="E100" s="12"/>
      <c r="F100" s="12"/>
      <c r="G100" s="12"/>
      <c r="H100" s="12"/>
      <c r="I100" s="12"/>
      <c r="J100" s="12"/>
      <c r="K100" s="1"/>
      <c r="L100" s="1"/>
      <c r="M100" s="1"/>
      <c r="N100" s="1"/>
    </row>
    <row r="101" spans="1:14" ht="14.45" customHeight="1" x14ac:dyDescent="0.4">
      <c r="A101" s="1"/>
      <c r="B101" s="12"/>
      <c r="C101" s="12"/>
      <c r="D101" s="12"/>
      <c r="E101" s="12"/>
      <c r="F101" s="12"/>
      <c r="G101" s="12"/>
      <c r="H101" s="12"/>
      <c r="I101" s="12"/>
      <c r="J101" s="12"/>
      <c r="K101" s="1"/>
      <c r="L101" s="1"/>
      <c r="M101" s="1"/>
      <c r="N101" s="1"/>
    </row>
    <row r="102" spans="1:14" ht="14.45" customHeight="1" x14ac:dyDescent="0.4">
      <c r="A102" s="1"/>
      <c r="B102" s="12"/>
      <c r="C102" s="12"/>
      <c r="D102" s="12"/>
      <c r="E102" s="12"/>
      <c r="F102" s="12"/>
      <c r="G102" s="12"/>
      <c r="H102" s="12"/>
      <c r="I102" s="12"/>
      <c r="J102" s="12"/>
      <c r="K102" s="1"/>
      <c r="L102" s="1"/>
      <c r="M102" s="1"/>
      <c r="N102" s="1"/>
    </row>
    <row r="103" spans="1:14" ht="14.45" customHeight="1" x14ac:dyDescent="0.4">
      <c r="A103" s="1"/>
      <c r="B103" s="12"/>
      <c r="C103" s="12"/>
      <c r="D103" s="12"/>
      <c r="E103" s="12"/>
      <c r="F103" s="12"/>
      <c r="G103" s="12"/>
      <c r="H103" s="12"/>
      <c r="I103" s="12"/>
      <c r="J103" s="12"/>
      <c r="K103" s="1"/>
      <c r="L103" s="1"/>
      <c r="M103" s="1"/>
      <c r="N103" s="1"/>
    </row>
    <row r="104" spans="1:14" ht="14.45" customHeight="1" x14ac:dyDescent="0.4">
      <c r="A104" s="1"/>
      <c r="B104" s="12"/>
      <c r="C104" s="12"/>
      <c r="D104" s="12"/>
      <c r="E104" s="12"/>
      <c r="F104" s="12"/>
      <c r="G104" s="12"/>
      <c r="H104" s="12"/>
      <c r="I104" s="12"/>
      <c r="J104" s="12"/>
      <c r="K104" s="1"/>
      <c r="L104" s="1"/>
      <c r="M104" s="1"/>
      <c r="N104" s="1"/>
    </row>
    <row r="105" spans="1:14" ht="14.45" customHeight="1" x14ac:dyDescent="0.4">
      <c r="A105" s="1"/>
      <c r="B105" s="12"/>
      <c r="C105" s="12"/>
      <c r="D105" s="12"/>
      <c r="E105" s="12"/>
      <c r="F105" s="12"/>
      <c r="G105" s="12"/>
      <c r="H105" s="12"/>
      <c r="I105" s="12"/>
      <c r="J105" s="12"/>
      <c r="K105" s="1"/>
      <c r="L105" s="1"/>
      <c r="M105" s="1"/>
      <c r="N105" s="1"/>
    </row>
    <row r="106" spans="1:14" ht="14.45" customHeight="1" x14ac:dyDescent="0.4">
      <c r="A106" s="1"/>
      <c r="B106" s="12"/>
      <c r="C106" s="12"/>
      <c r="D106" s="12"/>
      <c r="E106" s="12"/>
      <c r="F106" s="12"/>
      <c r="G106" s="12"/>
      <c r="H106" s="12"/>
      <c r="I106" s="12"/>
      <c r="J106" s="12"/>
      <c r="K106" s="1"/>
      <c r="L106" s="1"/>
      <c r="M106" s="1"/>
      <c r="N106" s="1"/>
    </row>
    <row r="107" spans="1:14" ht="14.45" customHeight="1" x14ac:dyDescent="0.4">
      <c r="A107" s="1"/>
      <c r="B107" s="12"/>
      <c r="C107" s="12"/>
      <c r="D107" s="12"/>
      <c r="E107" s="12"/>
      <c r="F107" s="12"/>
      <c r="G107" s="12"/>
      <c r="H107" s="12"/>
      <c r="I107" s="12"/>
      <c r="J107" s="12"/>
      <c r="K107" s="1"/>
      <c r="L107" s="1"/>
      <c r="M107" s="1"/>
      <c r="N107" s="1"/>
    </row>
    <row r="108" spans="1:14" ht="14.45" customHeight="1" x14ac:dyDescent="0.4">
      <c r="A108" s="1"/>
      <c r="B108" s="12"/>
      <c r="C108" s="12"/>
      <c r="D108" s="12"/>
      <c r="E108" s="12"/>
      <c r="F108" s="12"/>
      <c r="G108" s="12"/>
      <c r="H108" s="12"/>
      <c r="I108" s="12"/>
      <c r="J108" s="12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1">
    <mergeCell ref="B2:N3"/>
  </mergeCells>
  <dataValidations count="3">
    <dataValidation type="list" errorTitle="Invalid Entry" error="Select a value from the dropdown list." sqref="D9:D108" xr:uid="{00000000-0002-0000-0500-000000000000}">
      <formula1>list_Guest_Side</formula1>
    </dataValidation>
    <dataValidation type="list" errorTitle="Invalid Entry" error="Select a value from the dropdown list." sqref="E9:E108" xr:uid="{00000000-0002-0000-0500-000001000000}">
      <formula1>list_Guest_Group</formula1>
    </dataValidation>
    <dataValidation type="list" errorTitle="Invalid Entry" error="Select a value from the dropdown list." sqref="F9:F108" xr:uid="{00000000-0002-0000-0500-000002000000}">
      <formula1>list_RSVP_Status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51C2C"/>
  </sheetPr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"/>
    </sheetView>
  </sheetViews>
  <sheetFormatPr defaultRowHeight="14.25" x14ac:dyDescent="0.4"/>
  <cols>
    <col min="1" max="1" width="2.46484375" customWidth="1"/>
    <col min="2" max="2" width="12" customWidth="1"/>
    <col min="3" max="3" width="26" customWidth="1"/>
    <col min="4" max="6" width="16" customWidth="1"/>
    <col min="7" max="7" width="18" customWidth="1"/>
    <col min="8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.75" x14ac:dyDescent="0.4">
      <c r="A6" s="1"/>
      <c r="B6" s="28" t="s">
        <v>182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4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45" customHeight="1" x14ac:dyDescent="0.4">
      <c r="A8" s="1"/>
      <c r="B8" s="5" t="s">
        <v>183</v>
      </c>
      <c r="C8" s="5" t="s">
        <v>127</v>
      </c>
      <c r="D8" s="5" t="s">
        <v>184</v>
      </c>
      <c r="E8" s="5" t="s">
        <v>185</v>
      </c>
      <c r="F8" s="5" t="s">
        <v>186</v>
      </c>
      <c r="G8" s="5" t="s">
        <v>131</v>
      </c>
      <c r="H8" s="1"/>
      <c r="I8" s="1"/>
      <c r="J8" s="1"/>
      <c r="K8" s="1"/>
      <c r="L8" s="1"/>
      <c r="M8" s="1"/>
      <c r="N8" s="1"/>
    </row>
    <row r="9" spans="1:14" ht="14.45" customHeight="1" x14ac:dyDescent="0.4">
      <c r="A9" s="1"/>
      <c r="B9" s="12" t="s">
        <v>187</v>
      </c>
      <c r="C9" s="12" t="s">
        <v>68</v>
      </c>
      <c r="D9" s="34">
        <v>220000</v>
      </c>
      <c r="E9" s="35" cm="1">
        <f t="array" ref="E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>208000</v>
      </c>
      <c r="F9" s="35">
        <f>IF(OR(tbl_Budget_Manager[[#This Row],[Plan_Budget]]="",tbl_Budget_Manager[[#This Row],[Actual_Cost]]=""),"",tbl_Budget_Manager[[#This Row],[Plan_Budget]]-tbl_Budget_Manager[[#This Row],[Actual_Cost]])</f>
        <v>12000</v>
      </c>
      <c r="G9" s="7" t="str">
        <f>IF(tbl_Budget_Manager[[#This Row],[Variance]]="","",IF(tbl_Budget_Manager[[#This Row],[Variance]]&lt;0,"OVER BUDGET","ON TRACK"))</f>
        <v>ON TRACK</v>
      </c>
      <c r="H9" s="1"/>
      <c r="I9" s="1"/>
      <c r="J9" s="1"/>
      <c r="K9" s="1"/>
      <c r="L9" s="1"/>
      <c r="M9" s="1"/>
      <c r="N9" s="1"/>
    </row>
    <row r="10" spans="1:14" ht="14.45" customHeight="1" x14ac:dyDescent="0.4">
      <c r="A10" s="1"/>
      <c r="B10" s="12" t="s">
        <v>188</v>
      </c>
      <c r="C10" s="12" t="s">
        <v>80</v>
      </c>
      <c r="D10" s="34">
        <v>110000</v>
      </c>
      <c r="E10" s="35" cm="1">
        <f t="array" ref="E1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>52000</v>
      </c>
      <c r="F10" s="35">
        <f>IF(OR(tbl_Budget_Manager[[#This Row],[Plan_Budget]]="",tbl_Budget_Manager[[#This Row],[Actual_Cost]]=""),"",tbl_Budget_Manager[[#This Row],[Plan_Budget]]-tbl_Budget_Manager[[#This Row],[Actual_Cost]])</f>
        <v>58000</v>
      </c>
      <c r="G10" s="7" t="str">
        <f>IF(tbl_Budget_Manager[[#This Row],[Variance]]="","",IF(tbl_Budget_Manager[[#This Row],[Variance]]&lt;0,"OVER BUDGET","ON TRACK"))</f>
        <v>ON TRACK</v>
      </c>
      <c r="H10" s="1"/>
      <c r="I10" s="1"/>
      <c r="J10" s="1"/>
      <c r="K10" s="1"/>
      <c r="L10" s="1"/>
      <c r="M10" s="1"/>
      <c r="N10" s="1"/>
    </row>
    <row r="11" spans="1:14" ht="14.45" customHeight="1" x14ac:dyDescent="0.4">
      <c r="A11" s="1"/>
      <c r="B11" s="12" t="s">
        <v>189</v>
      </c>
      <c r="C11" s="12" t="s">
        <v>83</v>
      </c>
      <c r="D11" s="34">
        <v>60000</v>
      </c>
      <c r="E11" s="35" cm="1">
        <f t="array" ref="E1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>0</v>
      </c>
      <c r="F11" s="35">
        <f>IF(OR(tbl_Budget_Manager[[#This Row],[Plan_Budget]]="",tbl_Budget_Manager[[#This Row],[Actual_Cost]]=""),"",tbl_Budget_Manager[[#This Row],[Plan_Budget]]-tbl_Budget_Manager[[#This Row],[Actual_Cost]])</f>
        <v>60000</v>
      </c>
      <c r="G11" s="7" t="str">
        <f>IF(tbl_Budget_Manager[[#This Row],[Variance]]="","",IF(tbl_Budget_Manager[[#This Row],[Variance]]&lt;0,"OVER BUDGET","ON TRACK"))</f>
        <v>ON TRACK</v>
      </c>
      <c r="H11" s="1"/>
      <c r="I11" s="1"/>
      <c r="J11" s="1"/>
      <c r="K11" s="1"/>
      <c r="L11" s="1"/>
      <c r="M11" s="1"/>
      <c r="N11" s="1"/>
    </row>
    <row r="12" spans="1:14" ht="14.45" customHeight="1" x14ac:dyDescent="0.4">
      <c r="A12" s="1"/>
      <c r="B12" s="12" t="s">
        <v>190</v>
      </c>
      <c r="C12" s="12" t="s">
        <v>93</v>
      </c>
      <c r="D12" s="34">
        <v>25000</v>
      </c>
      <c r="E12" s="35" cm="1">
        <f t="array" ref="E1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>0</v>
      </c>
      <c r="F12" s="35">
        <f>IF(OR(tbl_Budget_Manager[[#This Row],[Plan_Budget]]="",tbl_Budget_Manager[[#This Row],[Actual_Cost]]=""),"",tbl_Budget_Manager[[#This Row],[Plan_Budget]]-tbl_Budget_Manager[[#This Row],[Actual_Cost]])</f>
        <v>25000</v>
      </c>
      <c r="G12" s="7" t="str">
        <f>IF(tbl_Budget_Manager[[#This Row],[Variance]]="","",IF(tbl_Budget_Manager[[#This Row],[Variance]]&lt;0,"OVER BUDGET","ON TRACK"))</f>
        <v>ON TRACK</v>
      </c>
      <c r="H12" s="1"/>
      <c r="I12" s="1"/>
      <c r="J12" s="1"/>
      <c r="K12" s="1"/>
      <c r="L12" s="1"/>
      <c r="M12" s="1"/>
      <c r="N12" s="1"/>
    </row>
    <row r="13" spans="1:14" ht="14.45" customHeight="1" x14ac:dyDescent="0.4">
      <c r="A13" s="1"/>
      <c r="B13" s="12" t="s">
        <v>191</v>
      </c>
      <c r="C13" s="12" t="s">
        <v>104</v>
      </c>
      <c r="D13" s="34">
        <v>35000</v>
      </c>
      <c r="E13" s="35" cm="1">
        <f t="array" ref="E1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>0</v>
      </c>
      <c r="F13" s="35">
        <f>IF(OR(tbl_Budget_Manager[[#This Row],[Plan_Budget]]="",tbl_Budget_Manager[[#This Row],[Actual_Cost]]=""),"",tbl_Budget_Manager[[#This Row],[Plan_Budget]]-tbl_Budget_Manager[[#This Row],[Actual_Cost]])</f>
        <v>35000</v>
      </c>
      <c r="G13" s="7" t="str">
        <f>IF(tbl_Budget_Manager[[#This Row],[Variance]]="","",IF(tbl_Budget_Manager[[#This Row],[Variance]]&lt;0,"OVER BUDGET","ON TRACK"))</f>
        <v>ON TRACK</v>
      </c>
      <c r="H13" s="1"/>
      <c r="I13" s="1"/>
      <c r="J13" s="1"/>
      <c r="K13" s="1"/>
      <c r="L13" s="1"/>
      <c r="M13" s="1"/>
      <c r="N13" s="1"/>
    </row>
    <row r="14" spans="1:14" ht="14.45" customHeight="1" x14ac:dyDescent="0.4">
      <c r="A14" s="1"/>
      <c r="B14" s="12"/>
      <c r="C14" s="12"/>
      <c r="D14" s="34"/>
      <c r="E14" s="35" t="str" cm="1">
        <f t="array" ref="E1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4" s="35" t="str">
        <f>IF(OR(tbl_Budget_Manager[[#This Row],[Plan_Budget]]="",tbl_Budget_Manager[[#This Row],[Actual_Cost]]=""),"",tbl_Budget_Manager[[#This Row],[Plan_Budget]]-tbl_Budget_Manager[[#This Row],[Actual_Cost]])</f>
        <v/>
      </c>
      <c r="G14" s="7" t="str">
        <f>IF(tbl_Budget_Manager[[#This Row],[Variance]]="","",IF(tbl_Budget_Manager[[#This Row],[Variance]]&lt;0,"OVER BUDGET","ON TRACK"))</f>
        <v/>
      </c>
      <c r="H14" s="1"/>
      <c r="I14" s="1"/>
      <c r="J14" s="1"/>
      <c r="K14" s="1"/>
      <c r="L14" s="1"/>
      <c r="M14" s="1"/>
      <c r="N14" s="1"/>
    </row>
    <row r="15" spans="1:14" ht="14.45" customHeight="1" x14ac:dyDescent="0.4">
      <c r="A15" s="1"/>
      <c r="B15" s="12"/>
      <c r="C15" s="12"/>
      <c r="D15" s="34"/>
      <c r="E15" s="35" t="str" cm="1">
        <f t="array" ref="E1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5" s="35" t="str">
        <f>IF(OR(tbl_Budget_Manager[[#This Row],[Plan_Budget]]="",tbl_Budget_Manager[[#This Row],[Actual_Cost]]=""),"",tbl_Budget_Manager[[#This Row],[Plan_Budget]]-tbl_Budget_Manager[[#This Row],[Actual_Cost]])</f>
        <v/>
      </c>
      <c r="G15" s="7" t="str">
        <f>IF(tbl_Budget_Manager[[#This Row],[Variance]]="","",IF(tbl_Budget_Manager[[#This Row],[Variance]]&lt;0,"OVER BUDGET","ON TRACK"))</f>
        <v/>
      </c>
      <c r="H15" s="1"/>
      <c r="I15" s="1"/>
      <c r="J15" s="1"/>
      <c r="K15" s="1"/>
      <c r="L15" s="1"/>
      <c r="M15" s="1"/>
      <c r="N15" s="1"/>
    </row>
    <row r="16" spans="1:14" ht="14.45" customHeight="1" x14ac:dyDescent="0.4">
      <c r="A16" s="1"/>
      <c r="B16" s="12"/>
      <c r="C16" s="12"/>
      <c r="D16" s="34"/>
      <c r="E16" s="35" t="str" cm="1">
        <f t="array" ref="E1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6" s="35" t="str">
        <f>IF(OR(tbl_Budget_Manager[[#This Row],[Plan_Budget]]="",tbl_Budget_Manager[[#This Row],[Actual_Cost]]=""),"",tbl_Budget_Manager[[#This Row],[Plan_Budget]]-tbl_Budget_Manager[[#This Row],[Actual_Cost]])</f>
        <v/>
      </c>
      <c r="G16" s="7" t="str">
        <f>IF(tbl_Budget_Manager[[#This Row],[Variance]]="","",IF(tbl_Budget_Manager[[#This Row],[Variance]]&lt;0,"OVER BUDGET","ON TRACK"))</f>
        <v/>
      </c>
      <c r="H16" s="1"/>
      <c r="I16" s="1"/>
      <c r="J16" s="1"/>
      <c r="K16" s="1"/>
      <c r="L16" s="1"/>
      <c r="M16" s="1"/>
      <c r="N16" s="1"/>
    </row>
    <row r="17" spans="1:14" ht="14.45" customHeight="1" x14ac:dyDescent="0.4">
      <c r="A17" s="1"/>
      <c r="B17" s="12"/>
      <c r="C17" s="12"/>
      <c r="D17" s="34"/>
      <c r="E17" s="35" t="str" cm="1">
        <f t="array" ref="E1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7" s="35" t="str">
        <f>IF(OR(tbl_Budget_Manager[[#This Row],[Plan_Budget]]="",tbl_Budget_Manager[[#This Row],[Actual_Cost]]=""),"",tbl_Budget_Manager[[#This Row],[Plan_Budget]]-tbl_Budget_Manager[[#This Row],[Actual_Cost]])</f>
        <v/>
      </c>
      <c r="G17" s="7" t="str">
        <f>IF(tbl_Budget_Manager[[#This Row],[Variance]]="","",IF(tbl_Budget_Manager[[#This Row],[Variance]]&lt;0,"OVER BUDGET","ON TRACK"))</f>
        <v/>
      </c>
      <c r="H17" s="1"/>
      <c r="I17" s="1"/>
      <c r="J17" s="1"/>
      <c r="K17" s="1"/>
      <c r="L17" s="1"/>
      <c r="M17" s="1"/>
      <c r="N17" s="1"/>
    </row>
    <row r="18" spans="1:14" ht="14.45" customHeight="1" x14ac:dyDescent="0.4">
      <c r="A18" s="1"/>
      <c r="B18" s="12"/>
      <c r="C18" s="12"/>
      <c r="D18" s="34"/>
      <c r="E18" s="35" t="str" cm="1">
        <f t="array" ref="E1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8" s="35" t="str">
        <f>IF(OR(tbl_Budget_Manager[[#This Row],[Plan_Budget]]="",tbl_Budget_Manager[[#This Row],[Actual_Cost]]=""),"",tbl_Budget_Manager[[#This Row],[Plan_Budget]]-tbl_Budget_Manager[[#This Row],[Actual_Cost]])</f>
        <v/>
      </c>
      <c r="G18" s="7" t="str">
        <f>IF(tbl_Budget_Manager[[#This Row],[Variance]]="","",IF(tbl_Budget_Manager[[#This Row],[Variance]]&lt;0,"OVER BUDGET","ON TRACK"))</f>
        <v/>
      </c>
      <c r="H18" s="1"/>
      <c r="I18" s="1"/>
      <c r="J18" s="1"/>
      <c r="K18" s="1"/>
      <c r="L18" s="1"/>
      <c r="M18" s="1"/>
      <c r="N18" s="1"/>
    </row>
    <row r="19" spans="1:14" ht="14.45" customHeight="1" x14ac:dyDescent="0.4">
      <c r="A19" s="1"/>
      <c r="B19" s="12"/>
      <c r="C19" s="12"/>
      <c r="D19" s="34"/>
      <c r="E19" s="35" t="str" cm="1">
        <f t="array" ref="E1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9" s="35" t="str">
        <f>IF(OR(tbl_Budget_Manager[[#This Row],[Plan_Budget]]="",tbl_Budget_Manager[[#This Row],[Actual_Cost]]=""),"",tbl_Budget_Manager[[#This Row],[Plan_Budget]]-tbl_Budget_Manager[[#This Row],[Actual_Cost]])</f>
        <v/>
      </c>
      <c r="G19" s="7" t="str">
        <f>IF(tbl_Budget_Manager[[#This Row],[Variance]]="","",IF(tbl_Budget_Manager[[#This Row],[Variance]]&lt;0,"OVER BUDGET","ON TRACK"))</f>
        <v/>
      </c>
      <c r="H19" s="1"/>
      <c r="I19" s="1"/>
      <c r="J19" s="1"/>
      <c r="K19" s="1"/>
      <c r="L19" s="1"/>
      <c r="M19" s="1"/>
      <c r="N19" s="1"/>
    </row>
    <row r="20" spans="1:14" ht="14.45" customHeight="1" x14ac:dyDescent="0.4">
      <c r="A20" s="1"/>
      <c r="B20" s="12"/>
      <c r="C20" s="12"/>
      <c r="D20" s="34"/>
      <c r="E20" s="35" t="str" cm="1">
        <f t="array" ref="E2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0" s="35" t="str">
        <f>IF(OR(tbl_Budget_Manager[[#This Row],[Plan_Budget]]="",tbl_Budget_Manager[[#This Row],[Actual_Cost]]=""),"",tbl_Budget_Manager[[#This Row],[Plan_Budget]]-tbl_Budget_Manager[[#This Row],[Actual_Cost]])</f>
        <v/>
      </c>
      <c r="G20" s="7" t="str">
        <f>IF(tbl_Budget_Manager[[#This Row],[Variance]]="","",IF(tbl_Budget_Manager[[#This Row],[Variance]]&lt;0,"OVER BUDGET","ON TRACK"))</f>
        <v/>
      </c>
      <c r="H20" s="1"/>
      <c r="I20" s="1"/>
      <c r="J20" s="1"/>
      <c r="K20" s="1"/>
      <c r="L20" s="1"/>
      <c r="M20" s="1"/>
      <c r="N20" s="1"/>
    </row>
    <row r="21" spans="1:14" ht="14.45" customHeight="1" x14ac:dyDescent="0.4">
      <c r="A21" s="1"/>
      <c r="B21" s="12"/>
      <c r="C21" s="12"/>
      <c r="D21" s="34"/>
      <c r="E21" s="35" t="str" cm="1">
        <f t="array" ref="E2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1" s="35" t="str">
        <f>IF(OR(tbl_Budget_Manager[[#This Row],[Plan_Budget]]="",tbl_Budget_Manager[[#This Row],[Actual_Cost]]=""),"",tbl_Budget_Manager[[#This Row],[Plan_Budget]]-tbl_Budget_Manager[[#This Row],[Actual_Cost]])</f>
        <v/>
      </c>
      <c r="G21" s="7" t="str">
        <f>IF(tbl_Budget_Manager[[#This Row],[Variance]]="","",IF(tbl_Budget_Manager[[#This Row],[Variance]]&lt;0,"OVER BUDGET","ON TRACK"))</f>
        <v/>
      </c>
      <c r="H21" s="1"/>
      <c r="I21" s="1"/>
      <c r="J21" s="1"/>
      <c r="K21" s="1"/>
      <c r="L21" s="1"/>
      <c r="M21" s="1"/>
      <c r="N21" s="1"/>
    </row>
    <row r="22" spans="1:14" ht="14.45" customHeight="1" x14ac:dyDescent="0.4">
      <c r="A22" s="1"/>
      <c r="B22" s="12"/>
      <c r="C22" s="12"/>
      <c r="D22" s="34"/>
      <c r="E22" s="35" t="str" cm="1">
        <f t="array" ref="E2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2" s="35" t="str">
        <f>IF(OR(tbl_Budget_Manager[[#This Row],[Plan_Budget]]="",tbl_Budget_Manager[[#This Row],[Actual_Cost]]=""),"",tbl_Budget_Manager[[#This Row],[Plan_Budget]]-tbl_Budget_Manager[[#This Row],[Actual_Cost]])</f>
        <v/>
      </c>
      <c r="G22" s="7" t="str">
        <f>IF(tbl_Budget_Manager[[#This Row],[Variance]]="","",IF(tbl_Budget_Manager[[#This Row],[Variance]]&lt;0,"OVER BUDGET","ON TRACK"))</f>
        <v/>
      </c>
      <c r="H22" s="1"/>
      <c r="I22" s="1"/>
      <c r="J22" s="1"/>
      <c r="K22" s="1"/>
      <c r="L22" s="1"/>
      <c r="M22" s="1"/>
      <c r="N22" s="1"/>
    </row>
    <row r="23" spans="1:14" ht="14.45" customHeight="1" x14ac:dyDescent="0.4">
      <c r="A23" s="1"/>
      <c r="B23" s="12"/>
      <c r="C23" s="12"/>
      <c r="D23" s="34"/>
      <c r="E23" s="35" t="str" cm="1">
        <f t="array" ref="E2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3" s="35" t="str">
        <f>IF(OR(tbl_Budget_Manager[[#This Row],[Plan_Budget]]="",tbl_Budget_Manager[[#This Row],[Actual_Cost]]=""),"",tbl_Budget_Manager[[#This Row],[Plan_Budget]]-tbl_Budget_Manager[[#This Row],[Actual_Cost]])</f>
        <v/>
      </c>
      <c r="G23" s="7" t="str">
        <f>IF(tbl_Budget_Manager[[#This Row],[Variance]]="","",IF(tbl_Budget_Manager[[#This Row],[Variance]]&lt;0,"OVER BUDGET","ON TRACK"))</f>
        <v/>
      </c>
      <c r="H23" s="1"/>
      <c r="I23" s="1"/>
      <c r="J23" s="1"/>
      <c r="K23" s="1"/>
      <c r="L23" s="1"/>
      <c r="M23" s="1"/>
      <c r="N23" s="1"/>
    </row>
    <row r="24" spans="1:14" ht="14.45" customHeight="1" x14ac:dyDescent="0.4">
      <c r="A24" s="1"/>
      <c r="B24" s="12"/>
      <c r="C24" s="12"/>
      <c r="D24" s="34"/>
      <c r="E24" s="35" t="str" cm="1">
        <f t="array" ref="E2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4" s="35" t="str">
        <f>IF(OR(tbl_Budget_Manager[[#This Row],[Plan_Budget]]="",tbl_Budget_Manager[[#This Row],[Actual_Cost]]=""),"",tbl_Budget_Manager[[#This Row],[Plan_Budget]]-tbl_Budget_Manager[[#This Row],[Actual_Cost]])</f>
        <v/>
      </c>
      <c r="G24" s="7" t="str">
        <f>IF(tbl_Budget_Manager[[#This Row],[Variance]]="","",IF(tbl_Budget_Manager[[#This Row],[Variance]]&lt;0,"OVER BUDGET","ON TRACK"))</f>
        <v/>
      </c>
      <c r="H24" s="1"/>
      <c r="I24" s="1"/>
      <c r="J24" s="1"/>
      <c r="K24" s="1"/>
      <c r="L24" s="1"/>
      <c r="M24" s="1"/>
      <c r="N24" s="1"/>
    </row>
    <row r="25" spans="1:14" ht="14.45" customHeight="1" x14ac:dyDescent="0.4">
      <c r="A25" s="1"/>
      <c r="B25" s="12"/>
      <c r="C25" s="12"/>
      <c r="D25" s="34"/>
      <c r="E25" s="35" t="str" cm="1">
        <f t="array" ref="E2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5" s="35" t="str">
        <f>IF(OR(tbl_Budget_Manager[[#This Row],[Plan_Budget]]="",tbl_Budget_Manager[[#This Row],[Actual_Cost]]=""),"",tbl_Budget_Manager[[#This Row],[Plan_Budget]]-tbl_Budget_Manager[[#This Row],[Actual_Cost]])</f>
        <v/>
      </c>
      <c r="G25" s="7" t="str">
        <f>IF(tbl_Budget_Manager[[#This Row],[Variance]]="","",IF(tbl_Budget_Manager[[#This Row],[Variance]]&lt;0,"OVER BUDGET","ON TRACK"))</f>
        <v/>
      </c>
      <c r="H25" s="1"/>
      <c r="I25" s="1"/>
      <c r="J25" s="1"/>
      <c r="K25" s="1"/>
      <c r="L25" s="1"/>
      <c r="M25" s="1"/>
      <c r="N25" s="1"/>
    </row>
    <row r="26" spans="1:14" ht="14.45" customHeight="1" x14ac:dyDescent="0.4">
      <c r="A26" s="1"/>
      <c r="B26" s="12"/>
      <c r="C26" s="12"/>
      <c r="D26" s="34"/>
      <c r="E26" s="35" t="str" cm="1">
        <f t="array" ref="E2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6" s="35" t="str">
        <f>IF(OR(tbl_Budget_Manager[[#This Row],[Plan_Budget]]="",tbl_Budget_Manager[[#This Row],[Actual_Cost]]=""),"",tbl_Budget_Manager[[#This Row],[Plan_Budget]]-tbl_Budget_Manager[[#This Row],[Actual_Cost]])</f>
        <v/>
      </c>
      <c r="G26" s="7" t="str">
        <f>IF(tbl_Budget_Manager[[#This Row],[Variance]]="","",IF(tbl_Budget_Manager[[#This Row],[Variance]]&lt;0,"OVER BUDGET","ON TRACK"))</f>
        <v/>
      </c>
      <c r="H26" s="1"/>
      <c r="I26" s="1"/>
      <c r="J26" s="1"/>
      <c r="K26" s="1"/>
      <c r="L26" s="1"/>
      <c r="M26" s="1"/>
      <c r="N26" s="1"/>
    </row>
    <row r="27" spans="1:14" ht="14.45" customHeight="1" x14ac:dyDescent="0.4">
      <c r="A27" s="1"/>
      <c r="B27" s="12"/>
      <c r="C27" s="12"/>
      <c r="D27" s="34"/>
      <c r="E27" s="35" t="str" cm="1">
        <f t="array" ref="E2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7" s="35" t="str">
        <f>IF(OR(tbl_Budget_Manager[[#This Row],[Plan_Budget]]="",tbl_Budget_Manager[[#This Row],[Actual_Cost]]=""),"",tbl_Budget_Manager[[#This Row],[Plan_Budget]]-tbl_Budget_Manager[[#This Row],[Actual_Cost]])</f>
        <v/>
      </c>
      <c r="G27" s="7" t="str">
        <f>IF(tbl_Budget_Manager[[#This Row],[Variance]]="","",IF(tbl_Budget_Manager[[#This Row],[Variance]]&lt;0,"OVER BUDGET","ON TRACK"))</f>
        <v/>
      </c>
      <c r="H27" s="1"/>
      <c r="I27" s="1"/>
      <c r="J27" s="1"/>
      <c r="K27" s="1"/>
      <c r="L27" s="1"/>
      <c r="M27" s="1"/>
      <c r="N27" s="1"/>
    </row>
    <row r="28" spans="1:14" ht="14.45" customHeight="1" x14ac:dyDescent="0.4">
      <c r="A28" s="1"/>
      <c r="B28" s="12"/>
      <c r="C28" s="12"/>
      <c r="D28" s="34"/>
      <c r="E28" s="35" t="str" cm="1">
        <f t="array" ref="E2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8" s="35" t="str">
        <f>IF(OR(tbl_Budget_Manager[[#This Row],[Plan_Budget]]="",tbl_Budget_Manager[[#This Row],[Actual_Cost]]=""),"",tbl_Budget_Manager[[#This Row],[Plan_Budget]]-tbl_Budget_Manager[[#This Row],[Actual_Cost]])</f>
        <v/>
      </c>
      <c r="G28" s="7" t="str">
        <f>IF(tbl_Budget_Manager[[#This Row],[Variance]]="","",IF(tbl_Budget_Manager[[#This Row],[Variance]]&lt;0,"OVER BUDGET","ON TRACK"))</f>
        <v/>
      </c>
      <c r="H28" s="1"/>
      <c r="I28" s="1"/>
      <c r="J28" s="1"/>
      <c r="K28" s="1"/>
      <c r="L28" s="1"/>
      <c r="M28" s="1"/>
      <c r="N28" s="1"/>
    </row>
    <row r="29" spans="1:14" ht="14.45" customHeight="1" x14ac:dyDescent="0.4">
      <c r="A29" s="1"/>
      <c r="B29" s="12"/>
      <c r="C29" s="12"/>
      <c r="D29" s="34"/>
      <c r="E29" s="35" t="str" cm="1">
        <f t="array" ref="E2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29" s="35" t="str">
        <f>IF(OR(tbl_Budget_Manager[[#This Row],[Plan_Budget]]="",tbl_Budget_Manager[[#This Row],[Actual_Cost]]=""),"",tbl_Budget_Manager[[#This Row],[Plan_Budget]]-tbl_Budget_Manager[[#This Row],[Actual_Cost]])</f>
        <v/>
      </c>
      <c r="G29" s="7" t="str">
        <f>IF(tbl_Budget_Manager[[#This Row],[Variance]]="","",IF(tbl_Budget_Manager[[#This Row],[Variance]]&lt;0,"OVER BUDGET","ON TRACK"))</f>
        <v/>
      </c>
      <c r="H29" s="1"/>
      <c r="I29" s="1"/>
      <c r="J29" s="1"/>
      <c r="K29" s="1"/>
      <c r="L29" s="1"/>
      <c r="M29" s="1"/>
      <c r="N29" s="1"/>
    </row>
    <row r="30" spans="1:14" ht="14.45" customHeight="1" x14ac:dyDescent="0.4">
      <c r="A30" s="1"/>
      <c r="B30" s="12"/>
      <c r="C30" s="12"/>
      <c r="D30" s="34"/>
      <c r="E30" s="35" t="str" cm="1">
        <f t="array" ref="E3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0" s="35" t="str">
        <f>IF(OR(tbl_Budget_Manager[[#This Row],[Plan_Budget]]="",tbl_Budget_Manager[[#This Row],[Actual_Cost]]=""),"",tbl_Budget_Manager[[#This Row],[Plan_Budget]]-tbl_Budget_Manager[[#This Row],[Actual_Cost]])</f>
        <v/>
      </c>
      <c r="G30" s="7" t="str">
        <f>IF(tbl_Budget_Manager[[#This Row],[Variance]]="","",IF(tbl_Budget_Manager[[#This Row],[Variance]]&lt;0,"OVER BUDGET","ON TRACK"))</f>
        <v/>
      </c>
      <c r="H30" s="1"/>
      <c r="I30" s="1"/>
      <c r="J30" s="1"/>
      <c r="K30" s="1"/>
      <c r="L30" s="1"/>
      <c r="M30" s="1"/>
      <c r="N30" s="1"/>
    </row>
    <row r="31" spans="1:14" ht="14.45" customHeight="1" x14ac:dyDescent="0.4">
      <c r="A31" s="1"/>
      <c r="B31" s="12"/>
      <c r="C31" s="12"/>
      <c r="D31" s="34"/>
      <c r="E31" s="35" t="str" cm="1">
        <f t="array" ref="E3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1" s="35" t="str">
        <f>IF(OR(tbl_Budget_Manager[[#This Row],[Plan_Budget]]="",tbl_Budget_Manager[[#This Row],[Actual_Cost]]=""),"",tbl_Budget_Manager[[#This Row],[Plan_Budget]]-tbl_Budget_Manager[[#This Row],[Actual_Cost]])</f>
        <v/>
      </c>
      <c r="G31" s="7" t="str">
        <f>IF(tbl_Budget_Manager[[#This Row],[Variance]]="","",IF(tbl_Budget_Manager[[#This Row],[Variance]]&lt;0,"OVER BUDGET","ON TRACK"))</f>
        <v/>
      </c>
      <c r="H31" s="1"/>
      <c r="I31" s="1"/>
      <c r="J31" s="1"/>
      <c r="K31" s="1"/>
      <c r="L31" s="1"/>
      <c r="M31" s="1"/>
      <c r="N31" s="1"/>
    </row>
    <row r="32" spans="1:14" ht="14.45" customHeight="1" x14ac:dyDescent="0.4">
      <c r="A32" s="1"/>
      <c r="B32" s="12"/>
      <c r="C32" s="12"/>
      <c r="D32" s="34"/>
      <c r="E32" s="35" t="str" cm="1">
        <f t="array" ref="E3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2" s="35" t="str">
        <f>IF(OR(tbl_Budget_Manager[[#This Row],[Plan_Budget]]="",tbl_Budget_Manager[[#This Row],[Actual_Cost]]=""),"",tbl_Budget_Manager[[#This Row],[Plan_Budget]]-tbl_Budget_Manager[[#This Row],[Actual_Cost]])</f>
        <v/>
      </c>
      <c r="G32" s="7" t="str">
        <f>IF(tbl_Budget_Manager[[#This Row],[Variance]]="","",IF(tbl_Budget_Manager[[#This Row],[Variance]]&lt;0,"OVER BUDGET","ON TRACK"))</f>
        <v/>
      </c>
      <c r="H32" s="1"/>
      <c r="I32" s="1"/>
      <c r="J32" s="1"/>
      <c r="K32" s="1"/>
      <c r="L32" s="1"/>
      <c r="M32" s="1"/>
      <c r="N32" s="1"/>
    </row>
    <row r="33" spans="1:14" ht="14.45" customHeight="1" x14ac:dyDescent="0.4">
      <c r="A33" s="1"/>
      <c r="B33" s="12"/>
      <c r="C33" s="12"/>
      <c r="D33" s="34"/>
      <c r="E33" s="35" t="str" cm="1">
        <f t="array" ref="E3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3" s="35" t="str">
        <f>IF(OR(tbl_Budget_Manager[[#This Row],[Plan_Budget]]="",tbl_Budget_Manager[[#This Row],[Actual_Cost]]=""),"",tbl_Budget_Manager[[#This Row],[Plan_Budget]]-tbl_Budget_Manager[[#This Row],[Actual_Cost]])</f>
        <v/>
      </c>
      <c r="G33" s="7" t="str">
        <f>IF(tbl_Budget_Manager[[#This Row],[Variance]]="","",IF(tbl_Budget_Manager[[#This Row],[Variance]]&lt;0,"OVER BUDGET","ON TRACK"))</f>
        <v/>
      </c>
      <c r="H33" s="1"/>
      <c r="I33" s="1"/>
      <c r="J33" s="1"/>
      <c r="K33" s="1"/>
      <c r="L33" s="1"/>
      <c r="M33" s="1"/>
      <c r="N33" s="1"/>
    </row>
    <row r="34" spans="1:14" ht="14.45" customHeight="1" x14ac:dyDescent="0.4">
      <c r="A34" s="1"/>
      <c r="B34" s="12"/>
      <c r="C34" s="12"/>
      <c r="D34" s="34"/>
      <c r="E34" s="35" t="str" cm="1">
        <f t="array" ref="E3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4" s="35" t="str">
        <f>IF(OR(tbl_Budget_Manager[[#This Row],[Plan_Budget]]="",tbl_Budget_Manager[[#This Row],[Actual_Cost]]=""),"",tbl_Budget_Manager[[#This Row],[Plan_Budget]]-tbl_Budget_Manager[[#This Row],[Actual_Cost]])</f>
        <v/>
      </c>
      <c r="G34" s="7" t="str">
        <f>IF(tbl_Budget_Manager[[#This Row],[Variance]]="","",IF(tbl_Budget_Manager[[#This Row],[Variance]]&lt;0,"OVER BUDGET","ON TRACK"))</f>
        <v/>
      </c>
      <c r="H34" s="1"/>
      <c r="I34" s="1"/>
      <c r="J34" s="1"/>
      <c r="K34" s="1"/>
      <c r="L34" s="1"/>
      <c r="M34" s="1"/>
      <c r="N34" s="1"/>
    </row>
    <row r="35" spans="1:14" ht="14.45" customHeight="1" x14ac:dyDescent="0.4">
      <c r="A35" s="1"/>
      <c r="B35" s="12"/>
      <c r="C35" s="12"/>
      <c r="D35" s="34"/>
      <c r="E35" s="35" t="str" cm="1">
        <f t="array" ref="E3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5" s="35" t="str">
        <f>IF(OR(tbl_Budget_Manager[[#This Row],[Plan_Budget]]="",tbl_Budget_Manager[[#This Row],[Actual_Cost]]=""),"",tbl_Budget_Manager[[#This Row],[Plan_Budget]]-tbl_Budget_Manager[[#This Row],[Actual_Cost]])</f>
        <v/>
      </c>
      <c r="G35" s="7" t="str">
        <f>IF(tbl_Budget_Manager[[#This Row],[Variance]]="","",IF(tbl_Budget_Manager[[#This Row],[Variance]]&lt;0,"OVER BUDGET","ON TRACK"))</f>
        <v/>
      </c>
      <c r="H35" s="1"/>
      <c r="I35" s="1"/>
      <c r="J35" s="1"/>
      <c r="K35" s="1"/>
      <c r="L35" s="1"/>
      <c r="M35" s="1"/>
      <c r="N35" s="1"/>
    </row>
    <row r="36" spans="1:14" ht="14.45" customHeight="1" x14ac:dyDescent="0.4">
      <c r="A36" s="1"/>
      <c r="B36" s="12"/>
      <c r="C36" s="12"/>
      <c r="D36" s="34"/>
      <c r="E36" s="35" t="str" cm="1">
        <f t="array" ref="E3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6" s="35" t="str">
        <f>IF(OR(tbl_Budget_Manager[[#This Row],[Plan_Budget]]="",tbl_Budget_Manager[[#This Row],[Actual_Cost]]=""),"",tbl_Budget_Manager[[#This Row],[Plan_Budget]]-tbl_Budget_Manager[[#This Row],[Actual_Cost]])</f>
        <v/>
      </c>
      <c r="G36" s="7" t="str">
        <f>IF(tbl_Budget_Manager[[#This Row],[Variance]]="","",IF(tbl_Budget_Manager[[#This Row],[Variance]]&lt;0,"OVER BUDGET","ON TRACK"))</f>
        <v/>
      </c>
      <c r="H36" s="1"/>
      <c r="I36" s="1"/>
      <c r="J36" s="1"/>
      <c r="K36" s="1"/>
      <c r="L36" s="1"/>
      <c r="M36" s="1"/>
      <c r="N36" s="1"/>
    </row>
    <row r="37" spans="1:14" ht="14.45" customHeight="1" x14ac:dyDescent="0.4">
      <c r="A37" s="1"/>
      <c r="B37" s="12"/>
      <c r="C37" s="12"/>
      <c r="D37" s="34"/>
      <c r="E37" s="35" t="str" cm="1">
        <f t="array" ref="E3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7" s="35" t="str">
        <f>IF(OR(tbl_Budget_Manager[[#This Row],[Plan_Budget]]="",tbl_Budget_Manager[[#This Row],[Actual_Cost]]=""),"",tbl_Budget_Manager[[#This Row],[Plan_Budget]]-tbl_Budget_Manager[[#This Row],[Actual_Cost]])</f>
        <v/>
      </c>
      <c r="G37" s="7" t="str">
        <f>IF(tbl_Budget_Manager[[#This Row],[Variance]]="","",IF(tbl_Budget_Manager[[#This Row],[Variance]]&lt;0,"OVER BUDGET","ON TRACK"))</f>
        <v/>
      </c>
      <c r="H37" s="1"/>
      <c r="I37" s="1"/>
      <c r="J37" s="1"/>
      <c r="K37" s="1"/>
      <c r="L37" s="1"/>
      <c r="M37" s="1"/>
      <c r="N37" s="1"/>
    </row>
    <row r="38" spans="1:14" ht="14.45" customHeight="1" x14ac:dyDescent="0.4">
      <c r="A38" s="1"/>
      <c r="B38" s="12"/>
      <c r="C38" s="12"/>
      <c r="D38" s="34"/>
      <c r="E38" s="35" t="str" cm="1">
        <f t="array" ref="E3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8" s="35" t="str">
        <f>IF(OR(tbl_Budget_Manager[[#This Row],[Plan_Budget]]="",tbl_Budget_Manager[[#This Row],[Actual_Cost]]=""),"",tbl_Budget_Manager[[#This Row],[Plan_Budget]]-tbl_Budget_Manager[[#This Row],[Actual_Cost]])</f>
        <v/>
      </c>
      <c r="G38" s="7" t="str">
        <f>IF(tbl_Budget_Manager[[#This Row],[Variance]]="","",IF(tbl_Budget_Manager[[#This Row],[Variance]]&lt;0,"OVER BUDGET","ON TRACK"))</f>
        <v/>
      </c>
      <c r="H38" s="1"/>
      <c r="I38" s="1"/>
      <c r="J38" s="1"/>
      <c r="K38" s="1"/>
      <c r="L38" s="1"/>
      <c r="M38" s="1"/>
      <c r="N38" s="1"/>
    </row>
    <row r="39" spans="1:14" ht="14.45" customHeight="1" x14ac:dyDescent="0.4">
      <c r="A39" s="1"/>
      <c r="B39" s="12"/>
      <c r="C39" s="12"/>
      <c r="D39" s="34"/>
      <c r="E39" s="35" t="str" cm="1">
        <f t="array" ref="E3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39" s="35" t="str">
        <f>IF(OR(tbl_Budget_Manager[[#This Row],[Plan_Budget]]="",tbl_Budget_Manager[[#This Row],[Actual_Cost]]=""),"",tbl_Budget_Manager[[#This Row],[Plan_Budget]]-tbl_Budget_Manager[[#This Row],[Actual_Cost]])</f>
        <v/>
      </c>
      <c r="G39" s="7" t="str">
        <f>IF(tbl_Budget_Manager[[#This Row],[Variance]]="","",IF(tbl_Budget_Manager[[#This Row],[Variance]]&lt;0,"OVER BUDGET","ON TRACK"))</f>
        <v/>
      </c>
      <c r="H39" s="1"/>
      <c r="I39" s="1"/>
      <c r="J39" s="1"/>
      <c r="K39" s="1"/>
      <c r="L39" s="1"/>
      <c r="M39" s="1"/>
      <c r="N39" s="1"/>
    </row>
    <row r="40" spans="1:14" ht="14.45" customHeight="1" x14ac:dyDescent="0.4">
      <c r="A40" s="1"/>
      <c r="B40" s="12"/>
      <c r="C40" s="12"/>
      <c r="D40" s="34"/>
      <c r="E40" s="35" t="str" cm="1">
        <f t="array" ref="E4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0" s="35" t="str">
        <f>IF(OR(tbl_Budget_Manager[[#This Row],[Plan_Budget]]="",tbl_Budget_Manager[[#This Row],[Actual_Cost]]=""),"",tbl_Budget_Manager[[#This Row],[Plan_Budget]]-tbl_Budget_Manager[[#This Row],[Actual_Cost]])</f>
        <v/>
      </c>
      <c r="G40" s="7" t="str">
        <f>IF(tbl_Budget_Manager[[#This Row],[Variance]]="","",IF(tbl_Budget_Manager[[#This Row],[Variance]]&lt;0,"OVER BUDGET","ON TRACK"))</f>
        <v/>
      </c>
      <c r="H40" s="1"/>
      <c r="I40" s="1"/>
      <c r="J40" s="1"/>
      <c r="K40" s="1"/>
      <c r="L40" s="1"/>
      <c r="M40" s="1"/>
      <c r="N40" s="1"/>
    </row>
    <row r="41" spans="1:14" ht="14.45" customHeight="1" x14ac:dyDescent="0.4">
      <c r="A41" s="1"/>
      <c r="B41" s="12"/>
      <c r="C41" s="12"/>
      <c r="D41" s="34"/>
      <c r="E41" s="35" t="str" cm="1">
        <f t="array" ref="E4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1" s="35" t="str">
        <f>IF(OR(tbl_Budget_Manager[[#This Row],[Plan_Budget]]="",tbl_Budget_Manager[[#This Row],[Actual_Cost]]=""),"",tbl_Budget_Manager[[#This Row],[Plan_Budget]]-tbl_Budget_Manager[[#This Row],[Actual_Cost]])</f>
        <v/>
      </c>
      <c r="G41" s="7" t="str">
        <f>IF(tbl_Budget_Manager[[#This Row],[Variance]]="","",IF(tbl_Budget_Manager[[#This Row],[Variance]]&lt;0,"OVER BUDGET","ON TRACK"))</f>
        <v/>
      </c>
      <c r="H41" s="1"/>
      <c r="I41" s="1"/>
      <c r="J41" s="1"/>
      <c r="K41" s="1"/>
      <c r="L41" s="1"/>
      <c r="M41" s="1"/>
      <c r="N41" s="1"/>
    </row>
    <row r="42" spans="1:14" ht="14.45" customHeight="1" x14ac:dyDescent="0.4">
      <c r="A42" s="1"/>
      <c r="B42" s="12"/>
      <c r="C42" s="12"/>
      <c r="D42" s="34"/>
      <c r="E42" s="35" t="str" cm="1">
        <f t="array" ref="E4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2" s="35" t="str">
        <f>IF(OR(tbl_Budget_Manager[[#This Row],[Plan_Budget]]="",tbl_Budget_Manager[[#This Row],[Actual_Cost]]=""),"",tbl_Budget_Manager[[#This Row],[Plan_Budget]]-tbl_Budget_Manager[[#This Row],[Actual_Cost]])</f>
        <v/>
      </c>
      <c r="G42" s="7" t="str">
        <f>IF(tbl_Budget_Manager[[#This Row],[Variance]]="","",IF(tbl_Budget_Manager[[#This Row],[Variance]]&lt;0,"OVER BUDGET","ON TRACK"))</f>
        <v/>
      </c>
      <c r="H42" s="1"/>
      <c r="I42" s="1"/>
      <c r="J42" s="1"/>
      <c r="K42" s="1"/>
      <c r="L42" s="1"/>
      <c r="M42" s="1"/>
      <c r="N42" s="1"/>
    </row>
    <row r="43" spans="1:14" ht="14.45" customHeight="1" x14ac:dyDescent="0.4">
      <c r="A43" s="1"/>
      <c r="B43" s="12"/>
      <c r="C43" s="12"/>
      <c r="D43" s="34"/>
      <c r="E43" s="35" t="str" cm="1">
        <f t="array" ref="E4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3" s="35" t="str">
        <f>IF(OR(tbl_Budget_Manager[[#This Row],[Plan_Budget]]="",tbl_Budget_Manager[[#This Row],[Actual_Cost]]=""),"",tbl_Budget_Manager[[#This Row],[Plan_Budget]]-tbl_Budget_Manager[[#This Row],[Actual_Cost]])</f>
        <v/>
      </c>
      <c r="G43" s="7" t="str">
        <f>IF(tbl_Budget_Manager[[#This Row],[Variance]]="","",IF(tbl_Budget_Manager[[#This Row],[Variance]]&lt;0,"OVER BUDGET","ON TRACK"))</f>
        <v/>
      </c>
      <c r="H43" s="1"/>
      <c r="I43" s="1"/>
      <c r="J43" s="1"/>
      <c r="K43" s="1"/>
      <c r="L43" s="1"/>
      <c r="M43" s="1"/>
      <c r="N43" s="1"/>
    </row>
    <row r="44" spans="1:14" ht="14.45" customHeight="1" x14ac:dyDescent="0.4">
      <c r="A44" s="1"/>
      <c r="B44" s="12"/>
      <c r="C44" s="12"/>
      <c r="D44" s="34"/>
      <c r="E44" s="35" t="str" cm="1">
        <f t="array" ref="E4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4" s="35" t="str">
        <f>IF(OR(tbl_Budget_Manager[[#This Row],[Plan_Budget]]="",tbl_Budget_Manager[[#This Row],[Actual_Cost]]=""),"",tbl_Budget_Manager[[#This Row],[Plan_Budget]]-tbl_Budget_Manager[[#This Row],[Actual_Cost]])</f>
        <v/>
      </c>
      <c r="G44" s="7" t="str">
        <f>IF(tbl_Budget_Manager[[#This Row],[Variance]]="","",IF(tbl_Budget_Manager[[#This Row],[Variance]]&lt;0,"OVER BUDGET","ON TRACK"))</f>
        <v/>
      </c>
      <c r="H44" s="1"/>
      <c r="I44" s="1"/>
      <c r="J44" s="1"/>
      <c r="K44" s="1"/>
      <c r="L44" s="1"/>
      <c r="M44" s="1"/>
      <c r="N44" s="1"/>
    </row>
    <row r="45" spans="1:14" ht="14.45" customHeight="1" x14ac:dyDescent="0.4">
      <c r="A45" s="1"/>
      <c r="B45" s="12"/>
      <c r="C45" s="12"/>
      <c r="D45" s="34"/>
      <c r="E45" s="35" t="str" cm="1">
        <f t="array" ref="E4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5" s="35" t="str">
        <f>IF(OR(tbl_Budget_Manager[[#This Row],[Plan_Budget]]="",tbl_Budget_Manager[[#This Row],[Actual_Cost]]=""),"",tbl_Budget_Manager[[#This Row],[Plan_Budget]]-tbl_Budget_Manager[[#This Row],[Actual_Cost]])</f>
        <v/>
      </c>
      <c r="G45" s="7" t="str">
        <f>IF(tbl_Budget_Manager[[#This Row],[Variance]]="","",IF(tbl_Budget_Manager[[#This Row],[Variance]]&lt;0,"OVER BUDGET","ON TRACK"))</f>
        <v/>
      </c>
      <c r="H45" s="1"/>
      <c r="I45" s="1"/>
      <c r="J45" s="1"/>
      <c r="K45" s="1"/>
      <c r="L45" s="1"/>
      <c r="M45" s="1"/>
      <c r="N45" s="1"/>
    </row>
    <row r="46" spans="1:14" ht="14.45" customHeight="1" x14ac:dyDescent="0.4">
      <c r="A46" s="1"/>
      <c r="B46" s="12"/>
      <c r="C46" s="12"/>
      <c r="D46" s="34"/>
      <c r="E46" s="35" t="str" cm="1">
        <f t="array" ref="E4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6" s="35" t="str">
        <f>IF(OR(tbl_Budget_Manager[[#This Row],[Plan_Budget]]="",tbl_Budget_Manager[[#This Row],[Actual_Cost]]=""),"",tbl_Budget_Manager[[#This Row],[Plan_Budget]]-tbl_Budget_Manager[[#This Row],[Actual_Cost]])</f>
        <v/>
      </c>
      <c r="G46" s="7" t="str">
        <f>IF(tbl_Budget_Manager[[#This Row],[Variance]]="","",IF(tbl_Budget_Manager[[#This Row],[Variance]]&lt;0,"OVER BUDGET","ON TRACK"))</f>
        <v/>
      </c>
      <c r="H46" s="1"/>
      <c r="I46" s="1"/>
      <c r="J46" s="1"/>
      <c r="K46" s="1"/>
      <c r="L46" s="1"/>
      <c r="M46" s="1"/>
      <c r="N46" s="1"/>
    </row>
    <row r="47" spans="1:14" ht="14.45" customHeight="1" x14ac:dyDescent="0.4">
      <c r="A47" s="1"/>
      <c r="B47" s="12"/>
      <c r="C47" s="12"/>
      <c r="D47" s="34"/>
      <c r="E47" s="35" t="str" cm="1">
        <f t="array" ref="E4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7" s="35" t="str">
        <f>IF(OR(tbl_Budget_Manager[[#This Row],[Plan_Budget]]="",tbl_Budget_Manager[[#This Row],[Actual_Cost]]=""),"",tbl_Budget_Manager[[#This Row],[Plan_Budget]]-tbl_Budget_Manager[[#This Row],[Actual_Cost]])</f>
        <v/>
      </c>
      <c r="G47" s="7" t="str">
        <f>IF(tbl_Budget_Manager[[#This Row],[Variance]]="","",IF(tbl_Budget_Manager[[#This Row],[Variance]]&lt;0,"OVER BUDGET","ON TRACK"))</f>
        <v/>
      </c>
      <c r="H47" s="1"/>
      <c r="I47" s="1"/>
      <c r="J47" s="1"/>
      <c r="K47" s="1"/>
      <c r="L47" s="1"/>
      <c r="M47" s="1"/>
      <c r="N47" s="1"/>
    </row>
    <row r="48" spans="1:14" ht="14.45" customHeight="1" x14ac:dyDescent="0.4">
      <c r="A48" s="1"/>
      <c r="B48" s="12"/>
      <c r="C48" s="12"/>
      <c r="D48" s="34"/>
      <c r="E48" s="35" t="str" cm="1">
        <f t="array" ref="E4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8" s="35" t="str">
        <f>IF(OR(tbl_Budget_Manager[[#This Row],[Plan_Budget]]="",tbl_Budget_Manager[[#This Row],[Actual_Cost]]=""),"",tbl_Budget_Manager[[#This Row],[Plan_Budget]]-tbl_Budget_Manager[[#This Row],[Actual_Cost]])</f>
        <v/>
      </c>
      <c r="G48" s="7" t="str">
        <f>IF(tbl_Budget_Manager[[#This Row],[Variance]]="","",IF(tbl_Budget_Manager[[#This Row],[Variance]]&lt;0,"OVER BUDGET","ON TRACK"))</f>
        <v/>
      </c>
      <c r="H48" s="1"/>
      <c r="I48" s="1"/>
      <c r="J48" s="1"/>
      <c r="K48" s="1"/>
      <c r="L48" s="1"/>
      <c r="M48" s="1"/>
      <c r="N48" s="1"/>
    </row>
    <row r="49" spans="1:14" ht="14.45" customHeight="1" x14ac:dyDescent="0.4">
      <c r="A49" s="1"/>
      <c r="B49" s="12"/>
      <c r="C49" s="12"/>
      <c r="D49" s="34"/>
      <c r="E49" s="35" t="str" cm="1">
        <f t="array" ref="E4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49" s="35" t="str">
        <f>IF(OR(tbl_Budget_Manager[[#This Row],[Plan_Budget]]="",tbl_Budget_Manager[[#This Row],[Actual_Cost]]=""),"",tbl_Budget_Manager[[#This Row],[Plan_Budget]]-tbl_Budget_Manager[[#This Row],[Actual_Cost]])</f>
        <v/>
      </c>
      <c r="G49" s="7" t="str">
        <f>IF(tbl_Budget_Manager[[#This Row],[Variance]]="","",IF(tbl_Budget_Manager[[#This Row],[Variance]]&lt;0,"OVER BUDGET","ON TRACK"))</f>
        <v/>
      </c>
      <c r="H49" s="1"/>
      <c r="I49" s="1"/>
      <c r="J49" s="1"/>
      <c r="K49" s="1"/>
      <c r="L49" s="1"/>
      <c r="M49" s="1"/>
      <c r="N49" s="1"/>
    </row>
    <row r="50" spans="1:14" ht="14.45" customHeight="1" x14ac:dyDescent="0.4">
      <c r="A50" s="1"/>
      <c r="B50" s="12"/>
      <c r="C50" s="12"/>
      <c r="D50" s="34"/>
      <c r="E50" s="35" t="str" cm="1">
        <f t="array" ref="E5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0" s="35" t="str">
        <f>IF(OR(tbl_Budget_Manager[[#This Row],[Plan_Budget]]="",tbl_Budget_Manager[[#This Row],[Actual_Cost]]=""),"",tbl_Budget_Manager[[#This Row],[Plan_Budget]]-tbl_Budget_Manager[[#This Row],[Actual_Cost]])</f>
        <v/>
      </c>
      <c r="G50" s="7" t="str">
        <f>IF(tbl_Budget_Manager[[#This Row],[Variance]]="","",IF(tbl_Budget_Manager[[#This Row],[Variance]]&lt;0,"OVER BUDGET","ON TRACK"))</f>
        <v/>
      </c>
      <c r="H50" s="1"/>
      <c r="I50" s="1"/>
      <c r="J50" s="1"/>
      <c r="K50" s="1"/>
      <c r="L50" s="1"/>
      <c r="M50" s="1"/>
      <c r="N50" s="1"/>
    </row>
    <row r="51" spans="1:14" ht="14.45" customHeight="1" x14ac:dyDescent="0.4">
      <c r="A51" s="1"/>
      <c r="B51" s="12"/>
      <c r="C51" s="12"/>
      <c r="D51" s="34"/>
      <c r="E51" s="35" t="str" cm="1">
        <f t="array" ref="E5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1" s="35" t="str">
        <f>IF(OR(tbl_Budget_Manager[[#This Row],[Plan_Budget]]="",tbl_Budget_Manager[[#This Row],[Actual_Cost]]=""),"",tbl_Budget_Manager[[#This Row],[Plan_Budget]]-tbl_Budget_Manager[[#This Row],[Actual_Cost]])</f>
        <v/>
      </c>
      <c r="G51" s="7" t="str">
        <f>IF(tbl_Budget_Manager[[#This Row],[Variance]]="","",IF(tbl_Budget_Manager[[#This Row],[Variance]]&lt;0,"OVER BUDGET","ON TRACK"))</f>
        <v/>
      </c>
      <c r="H51" s="1"/>
      <c r="I51" s="1"/>
      <c r="J51" s="1"/>
      <c r="K51" s="1"/>
      <c r="L51" s="1"/>
      <c r="M51" s="1"/>
      <c r="N51" s="1"/>
    </row>
    <row r="52" spans="1:14" ht="14.45" customHeight="1" x14ac:dyDescent="0.4">
      <c r="A52" s="1"/>
      <c r="B52" s="12"/>
      <c r="C52" s="12"/>
      <c r="D52" s="34"/>
      <c r="E52" s="35" t="str" cm="1">
        <f t="array" ref="E5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2" s="35" t="str">
        <f>IF(OR(tbl_Budget_Manager[[#This Row],[Plan_Budget]]="",tbl_Budget_Manager[[#This Row],[Actual_Cost]]=""),"",tbl_Budget_Manager[[#This Row],[Plan_Budget]]-tbl_Budget_Manager[[#This Row],[Actual_Cost]])</f>
        <v/>
      </c>
      <c r="G52" s="7" t="str">
        <f>IF(tbl_Budget_Manager[[#This Row],[Variance]]="","",IF(tbl_Budget_Manager[[#This Row],[Variance]]&lt;0,"OVER BUDGET","ON TRACK"))</f>
        <v/>
      </c>
      <c r="H52" s="1"/>
      <c r="I52" s="1"/>
      <c r="J52" s="1"/>
      <c r="K52" s="1"/>
      <c r="L52" s="1"/>
      <c r="M52" s="1"/>
      <c r="N52" s="1"/>
    </row>
    <row r="53" spans="1:14" ht="14.45" customHeight="1" x14ac:dyDescent="0.4">
      <c r="A53" s="1"/>
      <c r="B53" s="12"/>
      <c r="C53" s="12"/>
      <c r="D53" s="34"/>
      <c r="E53" s="35" t="str" cm="1">
        <f t="array" ref="E5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3" s="35" t="str">
        <f>IF(OR(tbl_Budget_Manager[[#This Row],[Plan_Budget]]="",tbl_Budget_Manager[[#This Row],[Actual_Cost]]=""),"",tbl_Budget_Manager[[#This Row],[Plan_Budget]]-tbl_Budget_Manager[[#This Row],[Actual_Cost]])</f>
        <v/>
      </c>
      <c r="G53" s="7" t="str">
        <f>IF(tbl_Budget_Manager[[#This Row],[Variance]]="","",IF(tbl_Budget_Manager[[#This Row],[Variance]]&lt;0,"OVER BUDGET","ON TRACK"))</f>
        <v/>
      </c>
      <c r="H53" s="1"/>
      <c r="I53" s="1"/>
      <c r="J53" s="1"/>
      <c r="K53" s="1"/>
      <c r="L53" s="1"/>
      <c r="M53" s="1"/>
      <c r="N53" s="1"/>
    </row>
    <row r="54" spans="1:14" ht="14.45" customHeight="1" x14ac:dyDescent="0.4">
      <c r="A54" s="1"/>
      <c r="B54" s="12"/>
      <c r="C54" s="12"/>
      <c r="D54" s="34"/>
      <c r="E54" s="35" t="str" cm="1">
        <f t="array" ref="E5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4" s="35" t="str">
        <f>IF(OR(tbl_Budget_Manager[[#This Row],[Plan_Budget]]="",tbl_Budget_Manager[[#This Row],[Actual_Cost]]=""),"",tbl_Budget_Manager[[#This Row],[Plan_Budget]]-tbl_Budget_Manager[[#This Row],[Actual_Cost]])</f>
        <v/>
      </c>
      <c r="G54" s="7" t="str">
        <f>IF(tbl_Budget_Manager[[#This Row],[Variance]]="","",IF(tbl_Budget_Manager[[#This Row],[Variance]]&lt;0,"OVER BUDGET","ON TRACK"))</f>
        <v/>
      </c>
      <c r="H54" s="1"/>
      <c r="I54" s="1"/>
      <c r="J54" s="1"/>
      <c r="K54" s="1"/>
      <c r="L54" s="1"/>
      <c r="M54" s="1"/>
      <c r="N54" s="1"/>
    </row>
    <row r="55" spans="1:14" ht="14.45" customHeight="1" x14ac:dyDescent="0.4">
      <c r="A55" s="1"/>
      <c r="B55" s="12"/>
      <c r="C55" s="12"/>
      <c r="D55" s="34"/>
      <c r="E55" s="35" t="str" cm="1">
        <f t="array" ref="E5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5" s="35" t="str">
        <f>IF(OR(tbl_Budget_Manager[[#This Row],[Plan_Budget]]="",tbl_Budget_Manager[[#This Row],[Actual_Cost]]=""),"",tbl_Budget_Manager[[#This Row],[Plan_Budget]]-tbl_Budget_Manager[[#This Row],[Actual_Cost]])</f>
        <v/>
      </c>
      <c r="G55" s="7" t="str">
        <f>IF(tbl_Budget_Manager[[#This Row],[Variance]]="","",IF(tbl_Budget_Manager[[#This Row],[Variance]]&lt;0,"OVER BUDGET","ON TRACK"))</f>
        <v/>
      </c>
      <c r="H55" s="1"/>
      <c r="I55" s="1"/>
      <c r="J55" s="1"/>
      <c r="K55" s="1"/>
      <c r="L55" s="1"/>
      <c r="M55" s="1"/>
      <c r="N55" s="1"/>
    </row>
    <row r="56" spans="1:14" ht="14.45" customHeight="1" x14ac:dyDescent="0.4">
      <c r="A56" s="1"/>
      <c r="B56" s="12"/>
      <c r="C56" s="12"/>
      <c r="D56" s="34"/>
      <c r="E56" s="35" t="str" cm="1">
        <f t="array" ref="E5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6" s="35" t="str">
        <f>IF(OR(tbl_Budget_Manager[[#This Row],[Plan_Budget]]="",tbl_Budget_Manager[[#This Row],[Actual_Cost]]=""),"",tbl_Budget_Manager[[#This Row],[Plan_Budget]]-tbl_Budget_Manager[[#This Row],[Actual_Cost]])</f>
        <v/>
      </c>
      <c r="G56" s="7" t="str">
        <f>IF(tbl_Budget_Manager[[#This Row],[Variance]]="","",IF(tbl_Budget_Manager[[#This Row],[Variance]]&lt;0,"OVER BUDGET","ON TRACK"))</f>
        <v/>
      </c>
      <c r="H56" s="1"/>
      <c r="I56" s="1"/>
      <c r="J56" s="1"/>
      <c r="K56" s="1"/>
      <c r="L56" s="1"/>
      <c r="M56" s="1"/>
      <c r="N56" s="1"/>
    </row>
    <row r="57" spans="1:14" ht="14.45" customHeight="1" x14ac:dyDescent="0.4">
      <c r="A57" s="1"/>
      <c r="B57" s="12"/>
      <c r="C57" s="12"/>
      <c r="D57" s="34"/>
      <c r="E57" s="35" t="str" cm="1">
        <f t="array" ref="E5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7" s="35" t="str">
        <f>IF(OR(tbl_Budget_Manager[[#This Row],[Plan_Budget]]="",tbl_Budget_Manager[[#This Row],[Actual_Cost]]=""),"",tbl_Budget_Manager[[#This Row],[Plan_Budget]]-tbl_Budget_Manager[[#This Row],[Actual_Cost]])</f>
        <v/>
      </c>
      <c r="G57" s="7" t="str">
        <f>IF(tbl_Budget_Manager[[#This Row],[Variance]]="","",IF(tbl_Budget_Manager[[#This Row],[Variance]]&lt;0,"OVER BUDGET","ON TRACK"))</f>
        <v/>
      </c>
      <c r="H57" s="1"/>
      <c r="I57" s="1"/>
      <c r="J57" s="1"/>
      <c r="K57" s="1"/>
      <c r="L57" s="1"/>
      <c r="M57" s="1"/>
      <c r="N57" s="1"/>
    </row>
    <row r="58" spans="1:14" ht="14.45" customHeight="1" x14ac:dyDescent="0.4">
      <c r="A58" s="1"/>
      <c r="B58" s="12"/>
      <c r="C58" s="12"/>
      <c r="D58" s="34"/>
      <c r="E58" s="35" t="str" cm="1">
        <f t="array" ref="E5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8" s="35" t="str">
        <f>IF(OR(tbl_Budget_Manager[[#This Row],[Plan_Budget]]="",tbl_Budget_Manager[[#This Row],[Actual_Cost]]=""),"",tbl_Budget_Manager[[#This Row],[Plan_Budget]]-tbl_Budget_Manager[[#This Row],[Actual_Cost]])</f>
        <v/>
      </c>
      <c r="G58" s="7" t="str">
        <f>IF(tbl_Budget_Manager[[#This Row],[Variance]]="","",IF(tbl_Budget_Manager[[#This Row],[Variance]]&lt;0,"OVER BUDGET","ON TRACK"))</f>
        <v/>
      </c>
      <c r="H58" s="1"/>
      <c r="I58" s="1"/>
      <c r="J58" s="1"/>
      <c r="K58" s="1"/>
      <c r="L58" s="1"/>
      <c r="M58" s="1"/>
      <c r="N58" s="1"/>
    </row>
    <row r="59" spans="1:14" ht="14.45" customHeight="1" x14ac:dyDescent="0.4">
      <c r="A59" s="1"/>
      <c r="B59" s="12"/>
      <c r="C59" s="12"/>
      <c r="D59" s="34"/>
      <c r="E59" s="35" t="str" cm="1">
        <f t="array" ref="E5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59" s="35" t="str">
        <f>IF(OR(tbl_Budget_Manager[[#This Row],[Plan_Budget]]="",tbl_Budget_Manager[[#This Row],[Actual_Cost]]=""),"",tbl_Budget_Manager[[#This Row],[Plan_Budget]]-tbl_Budget_Manager[[#This Row],[Actual_Cost]])</f>
        <v/>
      </c>
      <c r="G59" s="7" t="str">
        <f>IF(tbl_Budget_Manager[[#This Row],[Variance]]="","",IF(tbl_Budget_Manager[[#This Row],[Variance]]&lt;0,"OVER BUDGET","ON TRACK"))</f>
        <v/>
      </c>
      <c r="H59" s="1"/>
      <c r="I59" s="1"/>
      <c r="J59" s="1"/>
      <c r="K59" s="1"/>
      <c r="L59" s="1"/>
      <c r="M59" s="1"/>
      <c r="N59" s="1"/>
    </row>
    <row r="60" spans="1:14" ht="14.45" customHeight="1" x14ac:dyDescent="0.4">
      <c r="A60" s="1"/>
      <c r="B60" s="12"/>
      <c r="C60" s="12"/>
      <c r="D60" s="34"/>
      <c r="E60" s="35" t="str" cm="1">
        <f t="array" ref="E6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0" s="35" t="str">
        <f>IF(OR(tbl_Budget_Manager[[#This Row],[Plan_Budget]]="",tbl_Budget_Manager[[#This Row],[Actual_Cost]]=""),"",tbl_Budget_Manager[[#This Row],[Plan_Budget]]-tbl_Budget_Manager[[#This Row],[Actual_Cost]])</f>
        <v/>
      </c>
      <c r="G60" s="7" t="str">
        <f>IF(tbl_Budget_Manager[[#This Row],[Variance]]="","",IF(tbl_Budget_Manager[[#This Row],[Variance]]&lt;0,"OVER BUDGET","ON TRACK"))</f>
        <v/>
      </c>
      <c r="H60" s="1"/>
      <c r="I60" s="1"/>
      <c r="J60" s="1"/>
      <c r="K60" s="1"/>
      <c r="L60" s="1"/>
      <c r="M60" s="1"/>
      <c r="N60" s="1"/>
    </row>
    <row r="61" spans="1:14" ht="14.45" customHeight="1" x14ac:dyDescent="0.4">
      <c r="A61" s="1"/>
      <c r="B61" s="12"/>
      <c r="C61" s="12"/>
      <c r="D61" s="34"/>
      <c r="E61" s="35" t="str" cm="1">
        <f t="array" ref="E6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1" s="35" t="str">
        <f>IF(OR(tbl_Budget_Manager[[#This Row],[Plan_Budget]]="",tbl_Budget_Manager[[#This Row],[Actual_Cost]]=""),"",tbl_Budget_Manager[[#This Row],[Plan_Budget]]-tbl_Budget_Manager[[#This Row],[Actual_Cost]])</f>
        <v/>
      </c>
      <c r="G61" s="7" t="str">
        <f>IF(tbl_Budget_Manager[[#This Row],[Variance]]="","",IF(tbl_Budget_Manager[[#This Row],[Variance]]&lt;0,"OVER BUDGET","ON TRACK"))</f>
        <v/>
      </c>
      <c r="H61" s="1"/>
      <c r="I61" s="1"/>
      <c r="J61" s="1"/>
      <c r="K61" s="1"/>
      <c r="L61" s="1"/>
      <c r="M61" s="1"/>
      <c r="N61" s="1"/>
    </row>
    <row r="62" spans="1:14" ht="14.45" customHeight="1" x14ac:dyDescent="0.4">
      <c r="A62" s="1"/>
      <c r="B62" s="12"/>
      <c r="C62" s="12"/>
      <c r="D62" s="34"/>
      <c r="E62" s="35" t="str" cm="1">
        <f t="array" ref="E6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2" s="35" t="str">
        <f>IF(OR(tbl_Budget_Manager[[#This Row],[Plan_Budget]]="",tbl_Budget_Manager[[#This Row],[Actual_Cost]]=""),"",tbl_Budget_Manager[[#This Row],[Plan_Budget]]-tbl_Budget_Manager[[#This Row],[Actual_Cost]])</f>
        <v/>
      </c>
      <c r="G62" s="7" t="str">
        <f>IF(tbl_Budget_Manager[[#This Row],[Variance]]="","",IF(tbl_Budget_Manager[[#This Row],[Variance]]&lt;0,"OVER BUDGET","ON TRACK"))</f>
        <v/>
      </c>
      <c r="H62" s="1"/>
      <c r="I62" s="1"/>
      <c r="J62" s="1"/>
      <c r="K62" s="1"/>
      <c r="L62" s="1"/>
      <c r="M62" s="1"/>
      <c r="N62" s="1"/>
    </row>
    <row r="63" spans="1:14" ht="14.45" customHeight="1" x14ac:dyDescent="0.4">
      <c r="A63" s="1"/>
      <c r="B63" s="12"/>
      <c r="C63" s="12"/>
      <c r="D63" s="34"/>
      <c r="E63" s="35" t="str" cm="1">
        <f t="array" ref="E6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3" s="35" t="str">
        <f>IF(OR(tbl_Budget_Manager[[#This Row],[Plan_Budget]]="",tbl_Budget_Manager[[#This Row],[Actual_Cost]]=""),"",tbl_Budget_Manager[[#This Row],[Plan_Budget]]-tbl_Budget_Manager[[#This Row],[Actual_Cost]])</f>
        <v/>
      </c>
      <c r="G63" s="7" t="str">
        <f>IF(tbl_Budget_Manager[[#This Row],[Variance]]="","",IF(tbl_Budget_Manager[[#This Row],[Variance]]&lt;0,"OVER BUDGET","ON TRACK"))</f>
        <v/>
      </c>
      <c r="H63" s="1"/>
      <c r="I63" s="1"/>
      <c r="J63" s="1"/>
      <c r="K63" s="1"/>
      <c r="L63" s="1"/>
      <c r="M63" s="1"/>
      <c r="N63" s="1"/>
    </row>
    <row r="64" spans="1:14" ht="14.45" customHeight="1" x14ac:dyDescent="0.4">
      <c r="A64" s="1"/>
      <c r="B64" s="12"/>
      <c r="C64" s="12"/>
      <c r="D64" s="34"/>
      <c r="E64" s="35" t="str" cm="1">
        <f t="array" ref="E6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4" s="35" t="str">
        <f>IF(OR(tbl_Budget_Manager[[#This Row],[Plan_Budget]]="",tbl_Budget_Manager[[#This Row],[Actual_Cost]]=""),"",tbl_Budget_Manager[[#This Row],[Plan_Budget]]-tbl_Budget_Manager[[#This Row],[Actual_Cost]])</f>
        <v/>
      </c>
      <c r="G64" s="7" t="str">
        <f>IF(tbl_Budget_Manager[[#This Row],[Variance]]="","",IF(tbl_Budget_Manager[[#This Row],[Variance]]&lt;0,"OVER BUDGET","ON TRACK"))</f>
        <v/>
      </c>
      <c r="H64" s="1"/>
      <c r="I64" s="1"/>
      <c r="J64" s="1"/>
      <c r="K64" s="1"/>
      <c r="L64" s="1"/>
      <c r="M64" s="1"/>
      <c r="N64" s="1"/>
    </row>
    <row r="65" spans="1:14" ht="14.45" customHeight="1" x14ac:dyDescent="0.4">
      <c r="A65" s="1"/>
      <c r="B65" s="12"/>
      <c r="C65" s="12"/>
      <c r="D65" s="34"/>
      <c r="E65" s="35" t="str" cm="1">
        <f t="array" ref="E6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5" s="35" t="str">
        <f>IF(OR(tbl_Budget_Manager[[#This Row],[Plan_Budget]]="",tbl_Budget_Manager[[#This Row],[Actual_Cost]]=""),"",tbl_Budget_Manager[[#This Row],[Plan_Budget]]-tbl_Budget_Manager[[#This Row],[Actual_Cost]])</f>
        <v/>
      </c>
      <c r="G65" s="7" t="str">
        <f>IF(tbl_Budget_Manager[[#This Row],[Variance]]="","",IF(tbl_Budget_Manager[[#This Row],[Variance]]&lt;0,"OVER BUDGET","ON TRACK"))</f>
        <v/>
      </c>
      <c r="H65" s="1"/>
      <c r="I65" s="1"/>
      <c r="J65" s="1"/>
      <c r="K65" s="1"/>
      <c r="L65" s="1"/>
      <c r="M65" s="1"/>
      <c r="N65" s="1"/>
    </row>
    <row r="66" spans="1:14" ht="14.45" customHeight="1" x14ac:dyDescent="0.4">
      <c r="A66" s="1"/>
      <c r="B66" s="12"/>
      <c r="C66" s="12"/>
      <c r="D66" s="34"/>
      <c r="E66" s="35" t="str" cm="1">
        <f t="array" ref="E6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6" s="35" t="str">
        <f>IF(OR(tbl_Budget_Manager[[#This Row],[Plan_Budget]]="",tbl_Budget_Manager[[#This Row],[Actual_Cost]]=""),"",tbl_Budget_Manager[[#This Row],[Plan_Budget]]-tbl_Budget_Manager[[#This Row],[Actual_Cost]])</f>
        <v/>
      </c>
      <c r="G66" s="7" t="str">
        <f>IF(tbl_Budget_Manager[[#This Row],[Variance]]="","",IF(tbl_Budget_Manager[[#This Row],[Variance]]&lt;0,"OVER BUDGET","ON TRACK"))</f>
        <v/>
      </c>
      <c r="H66" s="1"/>
      <c r="I66" s="1"/>
      <c r="J66" s="1"/>
      <c r="K66" s="1"/>
      <c r="L66" s="1"/>
      <c r="M66" s="1"/>
      <c r="N66" s="1"/>
    </row>
    <row r="67" spans="1:14" ht="14.45" customHeight="1" x14ac:dyDescent="0.4">
      <c r="A67" s="1"/>
      <c r="B67" s="12"/>
      <c r="C67" s="12"/>
      <c r="D67" s="34"/>
      <c r="E67" s="35" t="str" cm="1">
        <f t="array" ref="E6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7" s="35" t="str">
        <f>IF(OR(tbl_Budget_Manager[[#This Row],[Plan_Budget]]="",tbl_Budget_Manager[[#This Row],[Actual_Cost]]=""),"",tbl_Budget_Manager[[#This Row],[Plan_Budget]]-tbl_Budget_Manager[[#This Row],[Actual_Cost]])</f>
        <v/>
      </c>
      <c r="G67" s="7" t="str">
        <f>IF(tbl_Budget_Manager[[#This Row],[Variance]]="","",IF(tbl_Budget_Manager[[#This Row],[Variance]]&lt;0,"OVER BUDGET","ON TRACK"))</f>
        <v/>
      </c>
      <c r="H67" s="1"/>
      <c r="I67" s="1"/>
      <c r="J67" s="1"/>
      <c r="K67" s="1"/>
      <c r="L67" s="1"/>
      <c r="M67" s="1"/>
      <c r="N67" s="1"/>
    </row>
    <row r="68" spans="1:14" ht="14.45" customHeight="1" x14ac:dyDescent="0.4">
      <c r="A68" s="1"/>
      <c r="B68" s="12"/>
      <c r="C68" s="12"/>
      <c r="D68" s="34"/>
      <c r="E68" s="35" t="str" cm="1">
        <f t="array" ref="E6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8" s="35" t="str">
        <f>IF(OR(tbl_Budget_Manager[[#This Row],[Plan_Budget]]="",tbl_Budget_Manager[[#This Row],[Actual_Cost]]=""),"",tbl_Budget_Manager[[#This Row],[Plan_Budget]]-tbl_Budget_Manager[[#This Row],[Actual_Cost]])</f>
        <v/>
      </c>
      <c r="G68" s="7" t="str">
        <f>IF(tbl_Budget_Manager[[#This Row],[Variance]]="","",IF(tbl_Budget_Manager[[#This Row],[Variance]]&lt;0,"OVER BUDGET","ON TRACK"))</f>
        <v/>
      </c>
      <c r="H68" s="1"/>
      <c r="I68" s="1"/>
      <c r="J68" s="1"/>
      <c r="K68" s="1"/>
      <c r="L68" s="1"/>
      <c r="M68" s="1"/>
      <c r="N68" s="1"/>
    </row>
    <row r="69" spans="1:14" ht="14.45" customHeight="1" x14ac:dyDescent="0.4">
      <c r="A69" s="1"/>
      <c r="B69" s="12"/>
      <c r="C69" s="12"/>
      <c r="D69" s="34"/>
      <c r="E69" s="35" t="str" cm="1">
        <f t="array" ref="E6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69" s="35" t="str">
        <f>IF(OR(tbl_Budget_Manager[[#This Row],[Plan_Budget]]="",tbl_Budget_Manager[[#This Row],[Actual_Cost]]=""),"",tbl_Budget_Manager[[#This Row],[Plan_Budget]]-tbl_Budget_Manager[[#This Row],[Actual_Cost]])</f>
        <v/>
      </c>
      <c r="G69" s="7" t="str">
        <f>IF(tbl_Budget_Manager[[#This Row],[Variance]]="","",IF(tbl_Budget_Manager[[#This Row],[Variance]]&lt;0,"OVER BUDGET","ON TRACK"))</f>
        <v/>
      </c>
      <c r="H69" s="1"/>
      <c r="I69" s="1"/>
      <c r="J69" s="1"/>
      <c r="K69" s="1"/>
      <c r="L69" s="1"/>
      <c r="M69" s="1"/>
      <c r="N69" s="1"/>
    </row>
    <row r="70" spans="1:14" ht="14.45" customHeight="1" x14ac:dyDescent="0.4">
      <c r="A70" s="1"/>
      <c r="B70" s="12"/>
      <c r="C70" s="12"/>
      <c r="D70" s="34"/>
      <c r="E70" s="35" t="str" cm="1">
        <f t="array" ref="E7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0" s="35" t="str">
        <f>IF(OR(tbl_Budget_Manager[[#This Row],[Plan_Budget]]="",tbl_Budget_Manager[[#This Row],[Actual_Cost]]=""),"",tbl_Budget_Manager[[#This Row],[Plan_Budget]]-tbl_Budget_Manager[[#This Row],[Actual_Cost]])</f>
        <v/>
      </c>
      <c r="G70" s="7" t="str">
        <f>IF(tbl_Budget_Manager[[#This Row],[Variance]]="","",IF(tbl_Budget_Manager[[#This Row],[Variance]]&lt;0,"OVER BUDGET","ON TRACK"))</f>
        <v/>
      </c>
      <c r="H70" s="1"/>
      <c r="I70" s="1"/>
      <c r="J70" s="1"/>
      <c r="K70" s="1"/>
      <c r="L70" s="1"/>
      <c r="M70" s="1"/>
      <c r="N70" s="1"/>
    </row>
    <row r="71" spans="1:14" ht="14.45" customHeight="1" x14ac:dyDescent="0.4">
      <c r="A71" s="1"/>
      <c r="B71" s="12"/>
      <c r="C71" s="12"/>
      <c r="D71" s="34"/>
      <c r="E71" s="35" t="str" cm="1">
        <f t="array" ref="E7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1" s="35" t="str">
        <f>IF(OR(tbl_Budget_Manager[[#This Row],[Plan_Budget]]="",tbl_Budget_Manager[[#This Row],[Actual_Cost]]=""),"",tbl_Budget_Manager[[#This Row],[Plan_Budget]]-tbl_Budget_Manager[[#This Row],[Actual_Cost]])</f>
        <v/>
      </c>
      <c r="G71" s="7" t="str">
        <f>IF(tbl_Budget_Manager[[#This Row],[Variance]]="","",IF(tbl_Budget_Manager[[#This Row],[Variance]]&lt;0,"OVER BUDGET","ON TRACK"))</f>
        <v/>
      </c>
      <c r="H71" s="1"/>
      <c r="I71" s="1"/>
      <c r="J71" s="1"/>
      <c r="K71" s="1"/>
      <c r="L71" s="1"/>
      <c r="M71" s="1"/>
      <c r="N71" s="1"/>
    </row>
    <row r="72" spans="1:14" ht="14.45" customHeight="1" x14ac:dyDescent="0.4">
      <c r="A72" s="1"/>
      <c r="B72" s="12"/>
      <c r="C72" s="12"/>
      <c r="D72" s="34"/>
      <c r="E72" s="35" t="str" cm="1">
        <f t="array" ref="E7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2" s="35" t="str">
        <f>IF(OR(tbl_Budget_Manager[[#This Row],[Plan_Budget]]="",tbl_Budget_Manager[[#This Row],[Actual_Cost]]=""),"",tbl_Budget_Manager[[#This Row],[Plan_Budget]]-tbl_Budget_Manager[[#This Row],[Actual_Cost]])</f>
        <v/>
      </c>
      <c r="G72" s="7" t="str">
        <f>IF(tbl_Budget_Manager[[#This Row],[Variance]]="","",IF(tbl_Budget_Manager[[#This Row],[Variance]]&lt;0,"OVER BUDGET","ON TRACK"))</f>
        <v/>
      </c>
      <c r="H72" s="1"/>
      <c r="I72" s="1"/>
      <c r="J72" s="1"/>
      <c r="K72" s="1"/>
      <c r="L72" s="1"/>
      <c r="M72" s="1"/>
      <c r="N72" s="1"/>
    </row>
    <row r="73" spans="1:14" ht="14.45" customHeight="1" x14ac:dyDescent="0.4">
      <c r="A73" s="1"/>
      <c r="B73" s="12"/>
      <c r="C73" s="12"/>
      <c r="D73" s="34"/>
      <c r="E73" s="35" t="str" cm="1">
        <f t="array" ref="E7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3" s="35" t="str">
        <f>IF(OR(tbl_Budget_Manager[[#This Row],[Plan_Budget]]="",tbl_Budget_Manager[[#This Row],[Actual_Cost]]=""),"",tbl_Budget_Manager[[#This Row],[Plan_Budget]]-tbl_Budget_Manager[[#This Row],[Actual_Cost]])</f>
        <v/>
      </c>
      <c r="G73" s="7" t="str">
        <f>IF(tbl_Budget_Manager[[#This Row],[Variance]]="","",IF(tbl_Budget_Manager[[#This Row],[Variance]]&lt;0,"OVER BUDGET","ON TRACK"))</f>
        <v/>
      </c>
      <c r="H73" s="1"/>
      <c r="I73" s="1"/>
      <c r="J73" s="1"/>
      <c r="K73" s="1"/>
      <c r="L73" s="1"/>
      <c r="M73" s="1"/>
      <c r="N73" s="1"/>
    </row>
    <row r="74" spans="1:14" ht="14.45" customHeight="1" x14ac:dyDescent="0.4">
      <c r="A74" s="1"/>
      <c r="B74" s="12"/>
      <c r="C74" s="12"/>
      <c r="D74" s="34"/>
      <c r="E74" s="35" t="str" cm="1">
        <f t="array" ref="E7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4" s="35" t="str">
        <f>IF(OR(tbl_Budget_Manager[[#This Row],[Plan_Budget]]="",tbl_Budget_Manager[[#This Row],[Actual_Cost]]=""),"",tbl_Budget_Manager[[#This Row],[Plan_Budget]]-tbl_Budget_Manager[[#This Row],[Actual_Cost]])</f>
        <v/>
      </c>
      <c r="G74" s="7" t="str">
        <f>IF(tbl_Budget_Manager[[#This Row],[Variance]]="","",IF(tbl_Budget_Manager[[#This Row],[Variance]]&lt;0,"OVER BUDGET","ON TRACK"))</f>
        <v/>
      </c>
      <c r="H74" s="1"/>
      <c r="I74" s="1"/>
      <c r="J74" s="1"/>
      <c r="K74" s="1"/>
      <c r="L74" s="1"/>
      <c r="M74" s="1"/>
      <c r="N74" s="1"/>
    </row>
    <row r="75" spans="1:14" ht="14.45" customHeight="1" x14ac:dyDescent="0.4">
      <c r="A75" s="1"/>
      <c r="B75" s="12"/>
      <c r="C75" s="12"/>
      <c r="D75" s="34"/>
      <c r="E75" s="35" t="str" cm="1">
        <f t="array" ref="E7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5" s="35" t="str">
        <f>IF(OR(tbl_Budget_Manager[[#This Row],[Plan_Budget]]="",tbl_Budget_Manager[[#This Row],[Actual_Cost]]=""),"",tbl_Budget_Manager[[#This Row],[Plan_Budget]]-tbl_Budget_Manager[[#This Row],[Actual_Cost]])</f>
        <v/>
      </c>
      <c r="G75" s="7" t="str">
        <f>IF(tbl_Budget_Manager[[#This Row],[Variance]]="","",IF(tbl_Budget_Manager[[#This Row],[Variance]]&lt;0,"OVER BUDGET","ON TRACK"))</f>
        <v/>
      </c>
      <c r="H75" s="1"/>
      <c r="I75" s="1"/>
      <c r="J75" s="1"/>
      <c r="K75" s="1"/>
      <c r="L75" s="1"/>
      <c r="M75" s="1"/>
      <c r="N75" s="1"/>
    </row>
    <row r="76" spans="1:14" ht="14.45" customHeight="1" x14ac:dyDescent="0.4">
      <c r="A76" s="1"/>
      <c r="B76" s="12"/>
      <c r="C76" s="12"/>
      <c r="D76" s="34"/>
      <c r="E76" s="35" t="str" cm="1">
        <f t="array" ref="E7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6" s="35" t="str">
        <f>IF(OR(tbl_Budget_Manager[[#This Row],[Plan_Budget]]="",tbl_Budget_Manager[[#This Row],[Actual_Cost]]=""),"",tbl_Budget_Manager[[#This Row],[Plan_Budget]]-tbl_Budget_Manager[[#This Row],[Actual_Cost]])</f>
        <v/>
      </c>
      <c r="G76" s="7" t="str">
        <f>IF(tbl_Budget_Manager[[#This Row],[Variance]]="","",IF(tbl_Budget_Manager[[#This Row],[Variance]]&lt;0,"OVER BUDGET","ON TRACK"))</f>
        <v/>
      </c>
      <c r="H76" s="1"/>
      <c r="I76" s="1"/>
      <c r="J76" s="1"/>
      <c r="K76" s="1"/>
      <c r="L76" s="1"/>
      <c r="M76" s="1"/>
      <c r="N76" s="1"/>
    </row>
    <row r="77" spans="1:14" ht="14.45" customHeight="1" x14ac:dyDescent="0.4">
      <c r="A77" s="1"/>
      <c r="B77" s="12"/>
      <c r="C77" s="12"/>
      <c r="D77" s="34"/>
      <c r="E77" s="35" t="str" cm="1">
        <f t="array" ref="E7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7" s="35" t="str">
        <f>IF(OR(tbl_Budget_Manager[[#This Row],[Plan_Budget]]="",tbl_Budget_Manager[[#This Row],[Actual_Cost]]=""),"",tbl_Budget_Manager[[#This Row],[Plan_Budget]]-tbl_Budget_Manager[[#This Row],[Actual_Cost]])</f>
        <v/>
      </c>
      <c r="G77" s="7" t="str">
        <f>IF(tbl_Budget_Manager[[#This Row],[Variance]]="","",IF(tbl_Budget_Manager[[#This Row],[Variance]]&lt;0,"OVER BUDGET","ON TRACK"))</f>
        <v/>
      </c>
      <c r="H77" s="1"/>
      <c r="I77" s="1"/>
      <c r="J77" s="1"/>
      <c r="K77" s="1"/>
      <c r="L77" s="1"/>
      <c r="M77" s="1"/>
      <c r="N77" s="1"/>
    </row>
    <row r="78" spans="1:14" ht="14.45" customHeight="1" x14ac:dyDescent="0.4">
      <c r="A78" s="1"/>
      <c r="B78" s="12"/>
      <c r="C78" s="12"/>
      <c r="D78" s="34"/>
      <c r="E78" s="35" t="str" cm="1">
        <f t="array" ref="E7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8" s="35" t="str">
        <f>IF(OR(tbl_Budget_Manager[[#This Row],[Plan_Budget]]="",tbl_Budget_Manager[[#This Row],[Actual_Cost]]=""),"",tbl_Budget_Manager[[#This Row],[Plan_Budget]]-tbl_Budget_Manager[[#This Row],[Actual_Cost]])</f>
        <v/>
      </c>
      <c r="G78" s="7" t="str">
        <f>IF(tbl_Budget_Manager[[#This Row],[Variance]]="","",IF(tbl_Budget_Manager[[#This Row],[Variance]]&lt;0,"OVER BUDGET","ON TRACK"))</f>
        <v/>
      </c>
      <c r="H78" s="1"/>
      <c r="I78" s="1"/>
      <c r="J78" s="1"/>
      <c r="K78" s="1"/>
      <c r="L78" s="1"/>
      <c r="M78" s="1"/>
      <c r="N78" s="1"/>
    </row>
    <row r="79" spans="1:14" ht="14.45" customHeight="1" x14ac:dyDescent="0.4">
      <c r="A79" s="1"/>
      <c r="B79" s="12"/>
      <c r="C79" s="12"/>
      <c r="D79" s="34"/>
      <c r="E79" s="35" t="str" cm="1">
        <f t="array" ref="E7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79" s="35" t="str">
        <f>IF(OR(tbl_Budget_Manager[[#This Row],[Plan_Budget]]="",tbl_Budget_Manager[[#This Row],[Actual_Cost]]=""),"",tbl_Budget_Manager[[#This Row],[Plan_Budget]]-tbl_Budget_Manager[[#This Row],[Actual_Cost]])</f>
        <v/>
      </c>
      <c r="G79" s="7" t="str">
        <f>IF(tbl_Budget_Manager[[#This Row],[Variance]]="","",IF(tbl_Budget_Manager[[#This Row],[Variance]]&lt;0,"OVER BUDGET","ON TRACK"))</f>
        <v/>
      </c>
      <c r="H79" s="1"/>
      <c r="I79" s="1"/>
      <c r="J79" s="1"/>
      <c r="K79" s="1"/>
      <c r="L79" s="1"/>
      <c r="M79" s="1"/>
      <c r="N79" s="1"/>
    </row>
    <row r="80" spans="1:14" ht="14.45" customHeight="1" x14ac:dyDescent="0.4">
      <c r="A80" s="1"/>
      <c r="B80" s="12"/>
      <c r="C80" s="12"/>
      <c r="D80" s="34"/>
      <c r="E80" s="35" t="str" cm="1">
        <f t="array" ref="E8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0" s="35" t="str">
        <f>IF(OR(tbl_Budget_Manager[[#This Row],[Plan_Budget]]="",tbl_Budget_Manager[[#This Row],[Actual_Cost]]=""),"",tbl_Budget_Manager[[#This Row],[Plan_Budget]]-tbl_Budget_Manager[[#This Row],[Actual_Cost]])</f>
        <v/>
      </c>
      <c r="G80" s="7" t="str">
        <f>IF(tbl_Budget_Manager[[#This Row],[Variance]]="","",IF(tbl_Budget_Manager[[#This Row],[Variance]]&lt;0,"OVER BUDGET","ON TRACK"))</f>
        <v/>
      </c>
      <c r="H80" s="1"/>
      <c r="I80" s="1"/>
      <c r="J80" s="1"/>
      <c r="K80" s="1"/>
      <c r="L80" s="1"/>
      <c r="M80" s="1"/>
      <c r="N80" s="1"/>
    </row>
    <row r="81" spans="1:14" ht="14.45" customHeight="1" x14ac:dyDescent="0.4">
      <c r="A81" s="1"/>
      <c r="B81" s="12"/>
      <c r="C81" s="12"/>
      <c r="D81" s="34"/>
      <c r="E81" s="35" t="str" cm="1">
        <f t="array" ref="E8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1" s="35" t="str">
        <f>IF(OR(tbl_Budget_Manager[[#This Row],[Plan_Budget]]="",tbl_Budget_Manager[[#This Row],[Actual_Cost]]=""),"",tbl_Budget_Manager[[#This Row],[Plan_Budget]]-tbl_Budget_Manager[[#This Row],[Actual_Cost]])</f>
        <v/>
      </c>
      <c r="G81" s="7" t="str">
        <f>IF(tbl_Budget_Manager[[#This Row],[Variance]]="","",IF(tbl_Budget_Manager[[#This Row],[Variance]]&lt;0,"OVER BUDGET","ON TRACK"))</f>
        <v/>
      </c>
      <c r="H81" s="1"/>
      <c r="I81" s="1"/>
      <c r="J81" s="1"/>
      <c r="K81" s="1"/>
      <c r="L81" s="1"/>
      <c r="M81" s="1"/>
      <c r="N81" s="1"/>
    </row>
    <row r="82" spans="1:14" ht="14.45" customHeight="1" x14ac:dyDescent="0.4">
      <c r="A82" s="1"/>
      <c r="B82" s="12"/>
      <c r="C82" s="12"/>
      <c r="D82" s="34"/>
      <c r="E82" s="35" t="str" cm="1">
        <f t="array" ref="E8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2" s="35" t="str">
        <f>IF(OR(tbl_Budget_Manager[[#This Row],[Plan_Budget]]="",tbl_Budget_Manager[[#This Row],[Actual_Cost]]=""),"",tbl_Budget_Manager[[#This Row],[Plan_Budget]]-tbl_Budget_Manager[[#This Row],[Actual_Cost]])</f>
        <v/>
      </c>
      <c r="G82" s="7" t="str">
        <f>IF(tbl_Budget_Manager[[#This Row],[Variance]]="","",IF(tbl_Budget_Manager[[#This Row],[Variance]]&lt;0,"OVER BUDGET","ON TRACK"))</f>
        <v/>
      </c>
      <c r="H82" s="1"/>
      <c r="I82" s="1"/>
      <c r="J82" s="1"/>
      <c r="K82" s="1"/>
      <c r="L82" s="1"/>
      <c r="M82" s="1"/>
      <c r="N82" s="1"/>
    </row>
    <row r="83" spans="1:14" ht="14.45" customHeight="1" x14ac:dyDescent="0.4">
      <c r="A83" s="1"/>
      <c r="B83" s="12"/>
      <c r="C83" s="12"/>
      <c r="D83" s="34"/>
      <c r="E83" s="35" t="str" cm="1">
        <f t="array" ref="E8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3" s="35" t="str">
        <f>IF(OR(tbl_Budget_Manager[[#This Row],[Plan_Budget]]="",tbl_Budget_Manager[[#This Row],[Actual_Cost]]=""),"",tbl_Budget_Manager[[#This Row],[Plan_Budget]]-tbl_Budget_Manager[[#This Row],[Actual_Cost]])</f>
        <v/>
      </c>
      <c r="G83" s="7" t="str">
        <f>IF(tbl_Budget_Manager[[#This Row],[Variance]]="","",IF(tbl_Budget_Manager[[#This Row],[Variance]]&lt;0,"OVER BUDGET","ON TRACK"))</f>
        <v/>
      </c>
      <c r="H83" s="1"/>
      <c r="I83" s="1"/>
      <c r="J83" s="1"/>
      <c r="K83" s="1"/>
      <c r="L83" s="1"/>
      <c r="M83" s="1"/>
      <c r="N83" s="1"/>
    </row>
    <row r="84" spans="1:14" ht="14.45" customHeight="1" x14ac:dyDescent="0.4">
      <c r="A84" s="1"/>
      <c r="B84" s="12"/>
      <c r="C84" s="12"/>
      <c r="D84" s="34"/>
      <c r="E84" s="35" t="str" cm="1">
        <f t="array" ref="E8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4" s="35" t="str">
        <f>IF(OR(tbl_Budget_Manager[[#This Row],[Plan_Budget]]="",tbl_Budget_Manager[[#This Row],[Actual_Cost]]=""),"",tbl_Budget_Manager[[#This Row],[Plan_Budget]]-tbl_Budget_Manager[[#This Row],[Actual_Cost]])</f>
        <v/>
      </c>
      <c r="G84" s="7" t="str">
        <f>IF(tbl_Budget_Manager[[#This Row],[Variance]]="","",IF(tbl_Budget_Manager[[#This Row],[Variance]]&lt;0,"OVER BUDGET","ON TRACK"))</f>
        <v/>
      </c>
      <c r="H84" s="1"/>
      <c r="I84" s="1"/>
      <c r="J84" s="1"/>
      <c r="K84" s="1"/>
      <c r="L84" s="1"/>
      <c r="M84" s="1"/>
      <c r="N84" s="1"/>
    </row>
    <row r="85" spans="1:14" ht="14.45" customHeight="1" x14ac:dyDescent="0.4">
      <c r="A85" s="1"/>
      <c r="B85" s="12"/>
      <c r="C85" s="12"/>
      <c r="D85" s="34"/>
      <c r="E85" s="35" t="str" cm="1">
        <f t="array" ref="E8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5" s="35" t="str">
        <f>IF(OR(tbl_Budget_Manager[[#This Row],[Plan_Budget]]="",tbl_Budget_Manager[[#This Row],[Actual_Cost]]=""),"",tbl_Budget_Manager[[#This Row],[Plan_Budget]]-tbl_Budget_Manager[[#This Row],[Actual_Cost]])</f>
        <v/>
      </c>
      <c r="G85" s="7" t="str">
        <f>IF(tbl_Budget_Manager[[#This Row],[Variance]]="","",IF(tbl_Budget_Manager[[#This Row],[Variance]]&lt;0,"OVER BUDGET","ON TRACK"))</f>
        <v/>
      </c>
      <c r="H85" s="1"/>
      <c r="I85" s="1"/>
      <c r="J85" s="1"/>
      <c r="K85" s="1"/>
      <c r="L85" s="1"/>
      <c r="M85" s="1"/>
      <c r="N85" s="1"/>
    </row>
    <row r="86" spans="1:14" ht="14.45" customHeight="1" x14ac:dyDescent="0.4">
      <c r="A86" s="1"/>
      <c r="B86" s="12"/>
      <c r="C86" s="12"/>
      <c r="D86" s="34"/>
      <c r="E86" s="35" t="str" cm="1">
        <f t="array" ref="E8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6" s="35" t="str">
        <f>IF(OR(tbl_Budget_Manager[[#This Row],[Plan_Budget]]="",tbl_Budget_Manager[[#This Row],[Actual_Cost]]=""),"",tbl_Budget_Manager[[#This Row],[Plan_Budget]]-tbl_Budget_Manager[[#This Row],[Actual_Cost]])</f>
        <v/>
      </c>
      <c r="G86" s="7" t="str">
        <f>IF(tbl_Budget_Manager[[#This Row],[Variance]]="","",IF(tbl_Budget_Manager[[#This Row],[Variance]]&lt;0,"OVER BUDGET","ON TRACK"))</f>
        <v/>
      </c>
      <c r="H86" s="1"/>
      <c r="I86" s="1"/>
      <c r="J86" s="1"/>
      <c r="K86" s="1"/>
      <c r="L86" s="1"/>
      <c r="M86" s="1"/>
      <c r="N86" s="1"/>
    </row>
    <row r="87" spans="1:14" ht="14.45" customHeight="1" x14ac:dyDescent="0.4">
      <c r="A87" s="1"/>
      <c r="B87" s="12"/>
      <c r="C87" s="12"/>
      <c r="D87" s="34"/>
      <c r="E87" s="35" t="str" cm="1">
        <f t="array" ref="E8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7" s="35" t="str">
        <f>IF(OR(tbl_Budget_Manager[[#This Row],[Plan_Budget]]="",tbl_Budget_Manager[[#This Row],[Actual_Cost]]=""),"",tbl_Budget_Manager[[#This Row],[Plan_Budget]]-tbl_Budget_Manager[[#This Row],[Actual_Cost]])</f>
        <v/>
      </c>
      <c r="G87" s="7" t="str">
        <f>IF(tbl_Budget_Manager[[#This Row],[Variance]]="","",IF(tbl_Budget_Manager[[#This Row],[Variance]]&lt;0,"OVER BUDGET","ON TRACK"))</f>
        <v/>
      </c>
      <c r="H87" s="1"/>
      <c r="I87" s="1"/>
      <c r="J87" s="1"/>
      <c r="K87" s="1"/>
      <c r="L87" s="1"/>
      <c r="M87" s="1"/>
      <c r="N87" s="1"/>
    </row>
    <row r="88" spans="1:14" ht="14.45" customHeight="1" x14ac:dyDescent="0.4">
      <c r="A88" s="1"/>
      <c r="B88" s="12"/>
      <c r="C88" s="12"/>
      <c r="D88" s="34"/>
      <c r="E88" s="35" t="str" cm="1">
        <f t="array" ref="E8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8" s="35" t="str">
        <f>IF(OR(tbl_Budget_Manager[[#This Row],[Plan_Budget]]="",tbl_Budget_Manager[[#This Row],[Actual_Cost]]=""),"",tbl_Budget_Manager[[#This Row],[Plan_Budget]]-tbl_Budget_Manager[[#This Row],[Actual_Cost]])</f>
        <v/>
      </c>
      <c r="G88" s="7" t="str">
        <f>IF(tbl_Budget_Manager[[#This Row],[Variance]]="","",IF(tbl_Budget_Manager[[#This Row],[Variance]]&lt;0,"OVER BUDGET","ON TRACK"))</f>
        <v/>
      </c>
      <c r="H88" s="1"/>
      <c r="I88" s="1"/>
      <c r="J88" s="1"/>
      <c r="K88" s="1"/>
      <c r="L88" s="1"/>
      <c r="M88" s="1"/>
      <c r="N88" s="1"/>
    </row>
    <row r="89" spans="1:14" ht="14.45" customHeight="1" x14ac:dyDescent="0.4">
      <c r="A89" s="1"/>
      <c r="B89" s="12"/>
      <c r="C89" s="12"/>
      <c r="D89" s="34"/>
      <c r="E89" s="35" t="str" cm="1">
        <f t="array" ref="E8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89" s="35" t="str">
        <f>IF(OR(tbl_Budget_Manager[[#This Row],[Plan_Budget]]="",tbl_Budget_Manager[[#This Row],[Actual_Cost]]=""),"",tbl_Budget_Manager[[#This Row],[Plan_Budget]]-tbl_Budget_Manager[[#This Row],[Actual_Cost]])</f>
        <v/>
      </c>
      <c r="G89" s="7" t="str">
        <f>IF(tbl_Budget_Manager[[#This Row],[Variance]]="","",IF(tbl_Budget_Manager[[#This Row],[Variance]]&lt;0,"OVER BUDGET","ON TRACK"))</f>
        <v/>
      </c>
      <c r="H89" s="1"/>
      <c r="I89" s="1"/>
      <c r="J89" s="1"/>
      <c r="K89" s="1"/>
      <c r="L89" s="1"/>
      <c r="M89" s="1"/>
      <c r="N89" s="1"/>
    </row>
    <row r="90" spans="1:14" ht="14.45" customHeight="1" x14ac:dyDescent="0.4">
      <c r="A90" s="1"/>
      <c r="B90" s="12"/>
      <c r="C90" s="12"/>
      <c r="D90" s="34"/>
      <c r="E90" s="35" t="str" cm="1">
        <f t="array" ref="E9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0" s="35" t="str">
        <f>IF(OR(tbl_Budget_Manager[[#This Row],[Plan_Budget]]="",tbl_Budget_Manager[[#This Row],[Actual_Cost]]=""),"",tbl_Budget_Manager[[#This Row],[Plan_Budget]]-tbl_Budget_Manager[[#This Row],[Actual_Cost]])</f>
        <v/>
      </c>
      <c r="G90" s="7" t="str">
        <f>IF(tbl_Budget_Manager[[#This Row],[Variance]]="","",IF(tbl_Budget_Manager[[#This Row],[Variance]]&lt;0,"OVER BUDGET","ON TRACK"))</f>
        <v/>
      </c>
      <c r="H90" s="1"/>
      <c r="I90" s="1"/>
      <c r="J90" s="1"/>
      <c r="K90" s="1"/>
      <c r="L90" s="1"/>
      <c r="M90" s="1"/>
      <c r="N90" s="1"/>
    </row>
    <row r="91" spans="1:14" ht="14.45" customHeight="1" x14ac:dyDescent="0.4">
      <c r="A91" s="1"/>
      <c r="B91" s="12"/>
      <c r="C91" s="12"/>
      <c r="D91" s="34"/>
      <c r="E91" s="35" t="str" cm="1">
        <f t="array" ref="E9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1" s="35" t="str">
        <f>IF(OR(tbl_Budget_Manager[[#This Row],[Plan_Budget]]="",tbl_Budget_Manager[[#This Row],[Actual_Cost]]=""),"",tbl_Budget_Manager[[#This Row],[Plan_Budget]]-tbl_Budget_Manager[[#This Row],[Actual_Cost]])</f>
        <v/>
      </c>
      <c r="G91" s="7" t="str">
        <f>IF(tbl_Budget_Manager[[#This Row],[Variance]]="","",IF(tbl_Budget_Manager[[#This Row],[Variance]]&lt;0,"OVER BUDGET","ON TRACK"))</f>
        <v/>
      </c>
      <c r="H91" s="1"/>
      <c r="I91" s="1"/>
      <c r="J91" s="1"/>
      <c r="K91" s="1"/>
      <c r="L91" s="1"/>
      <c r="M91" s="1"/>
      <c r="N91" s="1"/>
    </row>
    <row r="92" spans="1:14" ht="14.45" customHeight="1" x14ac:dyDescent="0.4">
      <c r="A92" s="1"/>
      <c r="B92" s="12"/>
      <c r="C92" s="12"/>
      <c r="D92" s="34"/>
      <c r="E92" s="35" t="str" cm="1">
        <f t="array" ref="E9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2" s="35" t="str">
        <f>IF(OR(tbl_Budget_Manager[[#This Row],[Plan_Budget]]="",tbl_Budget_Manager[[#This Row],[Actual_Cost]]=""),"",tbl_Budget_Manager[[#This Row],[Plan_Budget]]-tbl_Budget_Manager[[#This Row],[Actual_Cost]])</f>
        <v/>
      </c>
      <c r="G92" s="7" t="str">
        <f>IF(tbl_Budget_Manager[[#This Row],[Variance]]="","",IF(tbl_Budget_Manager[[#This Row],[Variance]]&lt;0,"OVER BUDGET","ON TRACK"))</f>
        <v/>
      </c>
      <c r="H92" s="1"/>
      <c r="I92" s="1"/>
      <c r="J92" s="1"/>
      <c r="K92" s="1"/>
      <c r="L92" s="1"/>
      <c r="M92" s="1"/>
      <c r="N92" s="1"/>
    </row>
    <row r="93" spans="1:14" ht="14.45" customHeight="1" x14ac:dyDescent="0.4">
      <c r="A93" s="1"/>
      <c r="B93" s="12"/>
      <c r="C93" s="12"/>
      <c r="D93" s="34"/>
      <c r="E93" s="35" t="str" cm="1">
        <f t="array" ref="E9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3" s="35" t="str">
        <f>IF(OR(tbl_Budget_Manager[[#This Row],[Plan_Budget]]="",tbl_Budget_Manager[[#This Row],[Actual_Cost]]=""),"",tbl_Budget_Manager[[#This Row],[Plan_Budget]]-tbl_Budget_Manager[[#This Row],[Actual_Cost]])</f>
        <v/>
      </c>
      <c r="G93" s="7" t="str">
        <f>IF(tbl_Budget_Manager[[#This Row],[Variance]]="","",IF(tbl_Budget_Manager[[#This Row],[Variance]]&lt;0,"OVER BUDGET","ON TRACK"))</f>
        <v/>
      </c>
      <c r="H93" s="1"/>
      <c r="I93" s="1"/>
      <c r="J93" s="1"/>
      <c r="K93" s="1"/>
      <c r="L93" s="1"/>
      <c r="M93" s="1"/>
      <c r="N93" s="1"/>
    </row>
    <row r="94" spans="1:14" ht="14.45" customHeight="1" x14ac:dyDescent="0.4">
      <c r="A94" s="1"/>
      <c r="B94" s="12"/>
      <c r="C94" s="12"/>
      <c r="D94" s="34"/>
      <c r="E94" s="35" t="str" cm="1">
        <f t="array" ref="E9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4" s="35" t="str">
        <f>IF(OR(tbl_Budget_Manager[[#This Row],[Plan_Budget]]="",tbl_Budget_Manager[[#This Row],[Actual_Cost]]=""),"",tbl_Budget_Manager[[#This Row],[Plan_Budget]]-tbl_Budget_Manager[[#This Row],[Actual_Cost]])</f>
        <v/>
      </c>
      <c r="G94" s="7" t="str">
        <f>IF(tbl_Budget_Manager[[#This Row],[Variance]]="","",IF(tbl_Budget_Manager[[#This Row],[Variance]]&lt;0,"OVER BUDGET","ON TRACK"))</f>
        <v/>
      </c>
      <c r="H94" s="1"/>
      <c r="I94" s="1"/>
      <c r="J94" s="1"/>
      <c r="K94" s="1"/>
      <c r="L94" s="1"/>
      <c r="M94" s="1"/>
      <c r="N94" s="1"/>
    </row>
    <row r="95" spans="1:14" ht="14.45" customHeight="1" x14ac:dyDescent="0.4">
      <c r="A95" s="1"/>
      <c r="B95" s="12"/>
      <c r="C95" s="12"/>
      <c r="D95" s="34"/>
      <c r="E95" s="35" t="str" cm="1">
        <f t="array" ref="E9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5" s="35" t="str">
        <f>IF(OR(tbl_Budget_Manager[[#This Row],[Plan_Budget]]="",tbl_Budget_Manager[[#This Row],[Actual_Cost]]=""),"",tbl_Budget_Manager[[#This Row],[Plan_Budget]]-tbl_Budget_Manager[[#This Row],[Actual_Cost]])</f>
        <v/>
      </c>
      <c r="G95" s="7" t="str">
        <f>IF(tbl_Budget_Manager[[#This Row],[Variance]]="","",IF(tbl_Budget_Manager[[#This Row],[Variance]]&lt;0,"OVER BUDGET","ON TRACK"))</f>
        <v/>
      </c>
      <c r="H95" s="1"/>
      <c r="I95" s="1"/>
      <c r="J95" s="1"/>
      <c r="K95" s="1"/>
      <c r="L95" s="1"/>
      <c r="M95" s="1"/>
      <c r="N95" s="1"/>
    </row>
    <row r="96" spans="1:14" ht="14.45" customHeight="1" x14ac:dyDescent="0.4">
      <c r="A96" s="1"/>
      <c r="B96" s="12"/>
      <c r="C96" s="12"/>
      <c r="D96" s="34"/>
      <c r="E96" s="35" t="str" cm="1">
        <f t="array" ref="E9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6" s="35" t="str">
        <f>IF(OR(tbl_Budget_Manager[[#This Row],[Plan_Budget]]="",tbl_Budget_Manager[[#This Row],[Actual_Cost]]=""),"",tbl_Budget_Manager[[#This Row],[Plan_Budget]]-tbl_Budget_Manager[[#This Row],[Actual_Cost]])</f>
        <v/>
      </c>
      <c r="G96" s="7" t="str">
        <f>IF(tbl_Budget_Manager[[#This Row],[Variance]]="","",IF(tbl_Budget_Manager[[#This Row],[Variance]]&lt;0,"OVER BUDGET","ON TRACK"))</f>
        <v/>
      </c>
      <c r="H96" s="1"/>
      <c r="I96" s="1"/>
      <c r="J96" s="1"/>
      <c r="K96" s="1"/>
      <c r="L96" s="1"/>
      <c r="M96" s="1"/>
      <c r="N96" s="1"/>
    </row>
    <row r="97" spans="1:14" ht="14.45" customHeight="1" x14ac:dyDescent="0.4">
      <c r="A97" s="1"/>
      <c r="B97" s="12"/>
      <c r="C97" s="12"/>
      <c r="D97" s="34"/>
      <c r="E97" s="35" t="str" cm="1">
        <f t="array" ref="E9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7" s="35" t="str">
        <f>IF(OR(tbl_Budget_Manager[[#This Row],[Plan_Budget]]="",tbl_Budget_Manager[[#This Row],[Actual_Cost]]=""),"",tbl_Budget_Manager[[#This Row],[Plan_Budget]]-tbl_Budget_Manager[[#This Row],[Actual_Cost]])</f>
        <v/>
      </c>
      <c r="G97" s="7" t="str">
        <f>IF(tbl_Budget_Manager[[#This Row],[Variance]]="","",IF(tbl_Budget_Manager[[#This Row],[Variance]]&lt;0,"OVER BUDGET","ON TRACK"))</f>
        <v/>
      </c>
      <c r="H97" s="1"/>
      <c r="I97" s="1"/>
      <c r="J97" s="1"/>
      <c r="K97" s="1"/>
      <c r="L97" s="1"/>
      <c r="M97" s="1"/>
      <c r="N97" s="1"/>
    </row>
    <row r="98" spans="1:14" ht="14.45" customHeight="1" x14ac:dyDescent="0.4">
      <c r="A98" s="1"/>
      <c r="B98" s="12"/>
      <c r="C98" s="12"/>
      <c r="D98" s="34"/>
      <c r="E98" s="35" t="str" cm="1">
        <f t="array" ref="E9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8" s="35" t="str">
        <f>IF(OR(tbl_Budget_Manager[[#This Row],[Plan_Budget]]="",tbl_Budget_Manager[[#This Row],[Actual_Cost]]=""),"",tbl_Budget_Manager[[#This Row],[Plan_Budget]]-tbl_Budget_Manager[[#This Row],[Actual_Cost]])</f>
        <v/>
      </c>
      <c r="G98" s="7" t="str">
        <f>IF(tbl_Budget_Manager[[#This Row],[Variance]]="","",IF(tbl_Budget_Manager[[#This Row],[Variance]]&lt;0,"OVER BUDGET","ON TRACK"))</f>
        <v/>
      </c>
      <c r="H98" s="1"/>
      <c r="I98" s="1"/>
      <c r="J98" s="1"/>
      <c r="K98" s="1"/>
      <c r="L98" s="1"/>
      <c r="M98" s="1"/>
      <c r="N98" s="1"/>
    </row>
    <row r="99" spans="1:14" ht="14.45" customHeight="1" x14ac:dyDescent="0.4">
      <c r="A99" s="1"/>
      <c r="B99" s="12"/>
      <c r="C99" s="12"/>
      <c r="D99" s="34"/>
      <c r="E99" s="35" t="str" cm="1">
        <f t="array" ref="E99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99" s="35" t="str">
        <f>IF(OR(tbl_Budget_Manager[[#This Row],[Plan_Budget]]="",tbl_Budget_Manager[[#This Row],[Actual_Cost]]=""),"",tbl_Budget_Manager[[#This Row],[Plan_Budget]]-tbl_Budget_Manager[[#This Row],[Actual_Cost]])</f>
        <v/>
      </c>
      <c r="G99" s="7" t="str">
        <f>IF(tbl_Budget_Manager[[#This Row],[Variance]]="","",IF(tbl_Budget_Manager[[#This Row],[Variance]]&lt;0,"OVER BUDGET","ON TRACK"))</f>
        <v/>
      </c>
      <c r="H99" s="1"/>
      <c r="I99" s="1"/>
      <c r="J99" s="1"/>
      <c r="K99" s="1"/>
      <c r="L99" s="1"/>
      <c r="M99" s="1"/>
      <c r="N99" s="1"/>
    </row>
    <row r="100" spans="1:14" ht="14.45" customHeight="1" x14ac:dyDescent="0.4">
      <c r="A100" s="1"/>
      <c r="B100" s="12"/>
      <c r="C100" s="12"/>
      <c r="D100" s="34"/>
      <c r="E100" s="35" t="str" cm="1">
        <f t="array" ref="E100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0" s="35" t="str">
        <f>IF(OR(tbl_Budget_Manager[[#This Row],[Plan_Budget]]="",tbl_Budget_Manager[[#This Row],[Actual_Cost]]=""),"",tbl_Budget_Manager[[#This Row],[Plan_Budget]]-tbl_Budget_Manager[[#This Row],[Actual_Cost]])</f>
        <v/>
      </c>
      <c r="G100" s="7" t="str">
        <f>IF(tbl_Budget_Manager[[#This Row],[Variance]]="","",IF(tbl_Budget_Manager[[#This Row],[Variance]]&lt;0,"OVER BUDGET","ON TRACK"))</f>
        <v/>
      </c>
      <c r="H100" s="1"/>
      <c r="I100" s="1"/>
      <c r="J100" s="1"/>
      <c r="K100" s="1"/>
      <c r="L100" s="1"/>
      <c r="M100" s="1"/>
      <c r="N100" s="1"/>
    </row>
    <row r="101" spans="1:14" ht="14.45" customHeight="1" x14ac:dyDescent="0.4">
      <c r="A101" s="1"/>
      <c r="B101" s="12"/>
      <c r="C101" s="12"/>
      <c r="D101" s="34"/>
      <c r="E101" s="35" t="str" cm="1">
        <f t="array" ref="E101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1" s="35" t="str">
        <f>IF(OR(tbl_Budget_Manager[[#This Row],[Plan_Budget]]="",tbl_Budget_Manager[[#This Row],[Actual_Cost]]=""),"",tbl_Budget_Manager[[#This Row],[Plan_Budget]]-tbl_Budget_Manager[[#This Row],[Actual_Cost]])</f>
        <v/>
      </c>
      <c r="G101" s="7" t="str">
        <f>IF(tbl_Budget_Manager[[#This Row],[Variance]]="","",IF(tbl_Budget_Manager[[#This Row],[Variance]]&lt;0,"OVER BUDGET","ON TRACK"))</f>
        <v/>
      </c>
      <c r="H101" s="1"/>
      <c r="I101" s="1"/>
      <c r="J101" s="1"/>
      <c r="K101" s="1"/>
      <c r="L101" s="1"/>
      <c r="M101" s="1"/>
      <c r="N101" s="1"/>
    </row>
    <row r="102" spans="1:14" ht="14.45" customHeight="1" x14ac:dyDescent="0.4">
      <c r="A102" s="1"/>
      <c r="B102" s="12"/>
      <c r="C102" s="12"/>
      <c r="D102" s="34"/>
      <c r="E102" s="35" t="str" cm="1">
        <f t="array" ref="E102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2" s="35" t="str">
        <f>IF(OR(tbl_Budget_Manager[[#This Row],[Plan_Budget]]="",tbl_Budget_Manager[[#This Row],[Actual_Cost]]=""),"",tbl_Budget_Manager[[#This Row],[Plan_Budget]]-tbl_Budget_Manager[[#This Row],[Actual_Cost]])</f>
        <v/>
      </c>
      <c r="G102" s="7" t="str">
        <f>IF(tbl_Budget_Manager[[#This Row],[Variance]]="","",IF(tbl_Budget_Manager[[#This Row],[Variance]]&lt;0,"OVER BUDGET","ON TRACK"))</f>
        <v/>
      </c>
      <c r="H102" s="1"/>
      <c r="I102" s="1"/>
      <c r="J102" s="1"/>
      <c r="K102" s="1"/>
      <c r="L102" s="1"/>
      <c r="M102" s="1"/>
      <c r="N102" s="1"/>
    </row>
    <row r="103" spans="1:14" ht="14.45" customHeight="1" x14ac:dyDescent="0.4">
      <c r="A103" s="1"/>
      <c r="B103" s="12"/>
      <c r="C103" s="12"/>
      <c r="D103" s="34"/>
      <c r="E103" s="35" t="str" cm="1">
        <f t="array" ref="E103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3" s="35" t="str">
        <f>IF(OR(tbl_Budget_Manager[[#This Row],[Plan_Budget]]="",tbl_Budget_Manager[[#This Row],[Actual_Cost]]=""),"",tbl_Budget_Manager[[#This Row],[Plan_Budget]]-tbl_Budget_Manager[[#This Row],[Actual_Cost]])</f>
        <v/>
      </c>
      <c r="G103" s="7" t="str">
        <f>IF(tbl_Budget_Manager[[#This Row],[Variance]]="","",IF(tbl_Budget_Manager[[#This Row],[Variance]]&lt;0,"OVER BUDGET","ON TRACK"))</f>
        <v/>
      </c>
      <c r="H103" s="1"/>
      <c r="I103" s="1"/>
      <c r="J103" s="1"/>
      <c r="K103" s="1"/>
      <c r="L103" s="1"/>
      <c r="M103" s="1"/>
      <c r="N103" s="1"/>
    </row>
    <row r="104" spans="1:14" ht="14.45" customHeight="1" x14ac:dyDescent="0.4">
      <c r="A104" s="1"/>
      <c r="B104" s="12"/>
      <c r="C104" s="12"/>
      <c r="D104" s="34"/>
      <c r="E104" s="35" t="str" cm="1">
        <f t="array" ref="E104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4" s="35" t="str">
        <f>IF(OR(tbl_Budget_Manager[[#This Row],[Plan_Budget]]="",tbl_Budget_Manager[[#This Row],[Actual_Cost]]=""),"",tbl_Budget_Manager[[#This Row],[Plan_Budget]]-tbl_Budget_Manager[[#This Row],[Actual_Cost]])</f>
        <v/>
      </c>
      <c r="G104" s="7" t="str">
        <f>IF(tbl_Budget_Manager[[#This Row],[Variance]]="","",IF(tbl_Budget_Manager[[#This Row],[Variance]]&lt;0,"OVER BUDGET","ON TRACK"))</f>
        <v/>
      </c>
      <c r="H104" s="1"/>
      <c r="I104" s="1"/>
      <c r="J104" s="1"/>
      <c r="K104" s="1"/>
      <c r="L104" s="1"/>
      <c r="M104" s="1"/>
      <c r="N104" s="1"/>
    </row>
    <row r="105" spans="1:14" ht="14.45" customHeight="1" x14ac:dyDescent="0.4">
      <c r="A105" s="1"/>
      <c r="B105" s="12"/>
      <c r="C105" s="12"/>
      <c r="D105" s="34"/>
      <c r="E105" s="35" t="str" cm="1">
        <f t="array" ref="E105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5" s="35" t="str">
        <f>IF(OR(tbl_Budget_Manager[[#This Row],[Plan_Budget]]="",tbl_Budget_Manager[[#This Row],[Actual_Cost]]=""),"",tbl_Budget_Manager[[#This Row],[Plan_Budget]]-tbl_Budget_Manager[[#This Row],[Actual_Cost]])</f>
        <v/>
      </c>
      <c r="G105" s="7" t="str">
        <f>IF(tbl_Budget_Manager[[#This Row],[Variance]]="","",IF(tbl_Budget_Manager[[#This Row],[Variance]]&lt;0,"OVER BUDGET","ON TRACK"))</f>
        <v/>
      </c>
      <c r="H105" s="1"/>
      <c r="I105" s="1"/>
      <c r="J105" s="1"/>
      <c r="K105" s="1"/>
      <c r="L105" s="1"/>
      <c r="M105" s="1"/>
      <c r="N105" s="1"/>
    </row>
    <row r="106" spans="1:14" ht="14.45" customHeight="1" x14ac:dyDescent="0.4">
      <c r="A106" s="1"/>
      <c r="B106" s="12"/>
      <c r="C106" s="12"/>
      <c r="D106" s="34"/>
      <c r="E106" s="35" t="str" cm="1">
        <f t="array" ref="E106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6" s="35" t="str">
        <f>IF(OR(tbl_Budget_Manager[[#This Row],[Plan_Budget]]="",tbl_Budget_Manager[[#This Row],[Actual_Cost]]=""),"",tbl_Budget_Manager[[#This Row],[Plan_Budget]]-tbl_Budget_Manager[[#This Row],[Actual_Cost]])</f>
        <v/>
      </c>
      <c r="G106" s="7" t="str">
        <f>IF(tbl_Budget_Manager[[#This Row],[Variance]]="","",IF(tbl_Budget_Manager[[#This Row],[Variance]]&lt;0,"OVER BUDGET","ON TRACK"))</f>
        <v/>
      </c>
      <c r="H106" s="1"/>
      <c r="I106" s="1"/>
      <c r="J106" s="1"/>
      <c r="K106" s="1"/>
      <c r="L106" s="1"/>
      <c r="M106" s="1"/>
      <c r="N106" s="1"/>
    </row>
    <row r="107" spans="1:14" ht="14.45" customHeight="1" x14ac:dyDescent="0.4">
      <c r="A107" s="1"/>
      <c r="B107" s="12"/>
      <c r="C107" s="12"/>
      <c r="D107" s="34"/>
      <c r="E107" s="35" t="str" cm="1">
        <f t="array" ref="E107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7" s="35" t="str">
        <f>IF(OR(tbl_Budget_Manager[[#This Row],[Plan_Budget]]="",tbl_Budget_Manager[[#This Row],[Actual_Cost]]=""),"",tbl_Budget_Manager[[#This Row],[Plan_Budget]]-tbl_Budget_Manager[[#This Row],[Actual_Cost]])</f>
        <v/>
      </c>
      <c r="G107" s="7" t="str">
        <f>IF(tbl_Budget_Manager[[#This Row],[Variance]]="","",IF(tbl_Budget_Manager[[#This Row],[Variance]]&lt;0,"OVER BUDGET","ON TRACK"))</f>
        <v/>
      </c>
      <c r="H107" s="1"/>
      <c r="I107" s="1"/>
      <c r="J107" s="1"/>
      <c r="K107" s="1"/>
      <c r="L107" s="1"/>
      <c r="M107" s="1"/>
      <c r="N107" s="1"/>
    </row>
    <row r="108" spans="1:14" ht="14.45" customHeight="1" x14ac:dyDescent="0.4">
      <c r="A108" s="1"/>
      <c r="B108" s="12"/>
      <c r="C108" s="12"/>
      <c r="D108" s="34"/>
      <c r="E108" s="35" t="str" cm="1">
        <f t="array" ref="E108">IF(tbl_Budget_Manager[[#This Row],[Category]]="","",SUMPRODUCT((_xlfn.XLOOKUP(tbl_Vendor_Tracker[Category],tbl_Config_Category_Map[Vendor_Category],tbl_Config_Category_Map[Budget_Category],"NO MATCH")=tbl_Budget_Manager[[#This Row],[Category]])*tbl_Vendor_Tracker[Contract_Amt]))</f>
        <v/>
      </c>
      <c r="F108" s="35" t="str">
        <f>IF(OR(tbl_Budget_Manager[[#This Row],[Plan_Budget]]="",tbl_Budget_Manager[[#This Row],[Actual_Cost]]=""),"",tbl_Budget_Manager[[#This Row],[Plan_Budget]]-tbl_Budget_Manager[[#This Row],[Actual_Cost]])</f>
        <v/>
      </c>
      <c r="G108" s="7" t="str">
        <f>IF(tbl_Budget_Manager[[#This Row],[Variance]]="","",IF(tbl_Budget_Manager[[#This Row],[Variance]]&lt;0,"OVER BUDGET","ON TRACK"))</f>
        <v/>
      </c>
      <c r="H108" s="1"/>
      <c r="I108" s="1"/>
      <c r="J108" s="1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1">
    <mergeCell ref="B2:N3"/>
  </mergeCells>
  <conditionalFormatting sqref="G9:G108">
    <cfRule type="expression" dxfId="1" priority="1">
      <formula>$G9="OVER BUDGET"</formula>
    </cfRule>
    <cfRule type="expression" dxfId="0" priority="2">
      <formula>$G9="ON TRACK"</formula>
    </cfRule>
  </conditionalFormatting>
  <dataValidations count="1">
    <dataValidation type="list" errorTitle="Invalid Entry" error="Select a value from the dropdown list." sqref="C9:C108" xr:uid="{00000000-0002-0000-0600-000000000000}">
      <formula1>list_Budget_Category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51C2C"/>
  </sheetPr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J34" sqref="J34"/>
    </sheetView>
  </sheetViews>
  <sheetFormatPr defaultRowHeight="14.25" x14ac:dyDescent="0.4"/>
  <cols>
    <col min="1" max="1" width="2.46484375" customWidth="1"/>
    <col min="2" max="2" width="12" customWidth="1"/>
    <col min="3" max="3" width="14" customWidth="1"/>
    <col min="4" max="4" width="22" customWidth="1"/>
    <col min="5" max="6" width="46" customWidth="1"/>
    <col min="7" max="7" width="16" customWidth="1"/>
    <col min="8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.75" x14ac:dyDescent="0.4">
      <c r="A6" s="1"/>
      <c r="B6" s="28" t="s">
        <v>192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4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45" customHeight="1" x14ac:dyDescent="0.4">
      <c r="A8" s="1"/>
      <c r="B8" s="5" t="s">
        <v>193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58</v>
      </c>
      <c r="H8" s="5" t="s">
        <v>198</v>
      </c>
      <c r="I8" s="1"/>
      <c r="J8" s="1"/>
      <c r="K8" s="1"/>
      <c r="L8" s="1"/>
      <c r="M8" s="1"/>
      <c r="N8" s="1"/>
    </row>
    <row r="9" spans="1:14" ht="14.45" customHeight="1" x14ac:dyDescent="0.4">
      <c r="A9" s="1"/>
      <c r="B9" s="12" t="s">
        <v>199</v>
      </c>
      <c r="C9" s="13">
        <v>46190</v>
      </c>
      <c r="D9" s="12" t="s">
        <v>69</v>
      </c>
      <c r="E9" s="12" t="s">
        <v>200</v>
      </c>
      <c r="F9" s="12" t="s">
        <v>201</v>
      </c>
      <c r="G9" s="12" t="s">
        <v>70</v>
      </c>
      <c r="H9" s="12" t="s">
        <v>136</v>
      </c>
      <c r="I9" s="1"/>
      <c r="J9" s="1"/>
      <c r="K9" s="1"/>
      <c r="L9" s="1"/>
      <c r="M9" s="1"/>
      <c r="N9" s="1"/>
    </row>
    <row r="10" spans="1:14" ht="14.45" customHeight="1" x14ac:dyDescent="0.4">
      <c r="A10" s="1"/>
      <c r="B10" s="12" t="s">
        <v>202</v>
      </c>
      <c r="C10" s="13">
        <v>46189</v>
      </c>
      <c r="D10" s="12" t="s">
        <v>81</v>
      </c>
      <c r="E10" s="12" t="s">
        <v>203</v>
      </c>
      <c r="F10" s="12" t="s">
        <v>204</v>
      </c>
      <c r="G10" s="12" t="s">
        <v>82</v>
      </c>
      <c r="H10" s="12" t="s">
        <v>153</v>
      </c>
      <c r="I10" s="1"/>
      <c r="J10" s="1"/>
      <c r="K10" s="1"/>
      <c r="L10" s="1"/>
      <c r="M10" s="1"/>
      <c r="N10" s="1"/>
    </row>
    <row r="11" spans="1:14" ht="14.45" customHeight="1" x14ac:dyDescent="0.4">
      <c r="A11" s="1"/>
      <c r="B11" s="12"/>
      <c r="C11" s="13"/>
      <c r="D11" s="12"/>
      <c r="E11" s="12"/>
      <c r="F11" s="12"/>
      <c r="G11" s="12"/>
      <c r="H11" s="12"/>
      <c r="I11" s="1"/>
      <c r="J11" s="1"/>
      <c r="K11" s="1"/>
      <c r="L11" s="1"/>
      <c r="M11" s="1"/>
      <c r="N11" s="1"/>
    </row>
    <row r="12" spans="1:14" ht="14.45" customHeight="1" x14ac:dyDescent="0.4">
      <c r="A12" s="1"/>
      <c r="B12" s="12"/>
      <c r="C12" s="13"/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</row>
    <row r="13" spans="1:14" ht="14.45" customHeight="1" x14ac:dyDescent="0.4">
      <c r="A13" s="1"/>
      <c r="B13" s="12"/>
      <c r="C13" s="13"/>
      <c r="D13" s="12"/>
      <c r="E13" s="12"/>
      <c r="F13" s="12"/>
      <c r="G13" s="12"/>
      <c r="H13" s="12"/>
      <c r="I13" s="1"/>
      <c r="J13" s="1"/>
      <c r="K13" s="1"/>
      <c r="L13" s="1"/>
      <c r="M13" s="1"/>
      <c r="N13" s="1"/>
    </row>
    <row r="14" spans="1:14" ht="14.45" customHeight="1" x14ac:dyDescent="0.4">
      <c r="A14" s="1"/>
      <c r="B14" s="12"/>
      <c r="C14" s="13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</row>
    <row r="15" spans="1:14" ht="14.45" customHeight="1" x14ac:dyDescent="0.4">
      <c r="A15" s="1"/>
      <c r="B15" s="12"/>
      <c r="C15" s="13"/>
      <c r="D15" s="12"/>
      <c r="E15" s="12"/>
      <c r="F15" s="12"/>
      <c r="G15" s="12"/>
      <c r="H15" s="12"/>
      <c r="I15" s="1"/>
      <c r="J15" s="1"/>
      <c r="K15" s="1"/>
      <c r="L15" s="1"/>
      <c r="M15" s="1"/>
      <c r="N15" s="1"/>
    </row>
    <row r="16" spans="1:14" ht="14.45" customHeight="1" x14ac:dyDescent="0.4">
      <c r="A16" s="1"/>
      <c r="B16" s="12"/>
      <c r="C16" s="13"/>
      <c r="D16" s="12"/>
      <c r="E16" s="12"/>
      <c r="F16" s="12"/>
      <c r="G16" s="12"/>
      <c r="H16" s="12"/>
      <c r="I16" s="1"/>
      <c r="J16" s="1"/>
      <c r="K16" s="1"/>
      <c r="L16" s="1"/>
      <c r="M16" s="1"/>
      <c r="N16" s="1"/>
    </row>
    <row r="17" spans="1:14" ht="14.45" customHeight="1" x14ac:dyDescent="0.4">
      <c r="A17" s="1"/>
      <c r="B17" s="12"/>
      <c r="C17" s="13"/>
      <c r="D17" s="12"/>
      <c r="E17" s="12"/>
      <c r="F17" s="12"/>
      <c r="G17" s="12"/>
      <c r="H17" s="12"/>
      <c r="I17" s="1"/>
      <c r="J17" s="1"/>
      <c r="K17" s="1"/>
      <c r="L17" s="1"/>
      <c r="M17" s="1"/>
      <c r="N17" s="1"/>
    </row>
    <row r="18" spans="1:14" ht="14.45" customHeight="1" x14ac:dyDescent="0.4">
      <c r="A18" s="1"/>
      <c r="B18" s="12"/>
      <c r="C18" s="13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</row>
    <row r="19" spans="1:14" ht="14.45" customHeight="1" x14ac:dyDescent="0.4">
      <c r="A19" s="1"/>
      <c r="B19" s="12"/>
      <c r="C19" s="13"/>
      <c r="D19" s="12"/>
      <c r="E19" s="12"/>
      <c r="F19" s="12"/>
      <c r="G19" s="12"/>
      <c r="H19" s="12"/>
      <c r="I19" s="1"/>
      <c r="J19" s="1"/>
      <c r="K19" s="1"/>
      <c r="L19" s="1"/>
      <c r="M19" s="1"/>
      <c r="N19" s="1"/>
    </row>
    <row r="20" spans="1:14" ht="14.45" customHeight="1" x14ac:dyDescent="0.4">
      <c r="A20" s="1"/>
      <c r="B20" s="12"/>
      <c r="C20" s="13"/>
      <c r="D20" s="12"/>
      <c r="E20" s="12"/>
      <c r="F20" s="12"/>
      <c r="G20" s="12"/>
      <c r="H20" s="12"/>
      <c r="I20" s="1"/>
      <c r="J20" s="1"/>
      <c r="K20" s="1"/>
      <c r="L20" s="1"/>
      <c r="M20" s="1"/>
      <c r="N20" s="1"/>
    </row>
    <row r="21" spans="1:14" ht="14.45" customHeight="1" x14ac:dyDescent="0.4">
      <c r="A21" s="1"/>
      <c r="B21" s="12"/>
      <c r="C21" s="13"/>
      <c r="D21" s="12"/>
      <c r="E21" s="12"/>
      <c r="F21" s="12"/>
      <c r="G21" s="12"/>
      <c r="H21" s="12"/>
      <c r="I21" s="1"/>
      <c r="J21" s="1"/>
      <c r="K21" s="1"/>
      <c r="L21" s="1"/>
      <c r="M21" s="1"/>
      <c r="N21" s="1"/>
    </row>
    <row r="22" spans="1:14" ht="14.45" customHeight="1" x14ac:dyDescent="0.4">
      <c r="A22" s="1"/>
      <c r="B22" s="12"/>
      <c r="C22" s="13"/>
      <c r="D22" s="12"/>
      <c r="E22" s="12"/>
      <c r="F22" s="12"/>
      <c r="G22" s="12"/>
      <c r="H22" s="12"/>
      <c r="I22" s="1"/>
      <c r="J22" s="1"/>
      <c r="K22" s="1"/>
      <c r="L22" s="1"/>
      <c r="M22" s="1"/>
      <c r="N22" s="1"/>
    </row>
    <row r="23" spans="1:14" ht="14.45" customHeight="1" x14ac:dyDescent="0.4">
      <c r="A23" s="1"/>
      <c r="B23" s="12"/>
      <c r="C23" s="13"/>
      <c r="D23" s="12"/>
      <c r="E23" s="12"/>
      <c r="F23" s="12"/>
      <c r="G23" s="12"/>
      <c r="H23" s="12"/>
      <c r="I23" s="1"/>
      <c r="J23" s="1"/>
      <c r="K23" s="1"/>
      <c r="L23" s="1"/>
      <c r="M23" s="1"/>
      <c r="N23" s="1"/>
    </row>
    <row r="24" spans="1:14" ht="14.45" customHeight="1" x14ac:dyDescent="0.4">
      <c r="A24" s="1"/>
      <c r="B24" s="12"/>
      <c r="C24" s="13"/>
      <c r="D24" s="12"/>
      <c r="E24" s="12"/>
      <c r="F24" s="12"/>
      <c r="G24" s="12"/>
      <c r="H24" s="12"/>
      <c r="I24" s="1"/>
      <c r="J24" s="1"/>
      <c r="K24" s="1"/>
      <c r="L24" s="1"/>
      <c r="M24" s="1"/>
      <c r="N24" s="1"/>
    </row>
    <row r="25" spans="1:14" ht="14.45" customHeight="1" x14ac:dyDescent="0.4">
      <c r="A25" s="1"/>
      <c r="B25" s="12"/>
      <c r="C25" s="13"/>
      <c r="D25" s="12"/>
      <c r="E25" s="12"/>
      <c r="F25" s="12"/>
      <c r="G25" s="12"/>
      <c r="H25" s="12"/>
      <c r="I25" s="1"/>
      <c r="J25" s="1"/>
      <c r="K25" s="1"/>
      <c r="L25" s="1"/>
      <c r="M25" s="1"/>
      <c r="N25" s="1"/>
    </row>
    <row r="26" spans="1:14" ht="14.45" customHeight="1" x14ac:dyDescent="0.4">
      <c r="A26" s="1"/>
      <c r="B26" s="12"/>
      <c r="C26" s="13"/>
      <c r="D26" s="12"/>
      <c r="E26" s="12"/>
      <c r="F26" s="12"/>
      <c r="G26" s="12"/>
      <c r="H26" s="12"/>
      <c r="I26" s="1"/>
      <c r="J26" s="1"/>
      <c r="K26" s="1"/>
      <c r="L26" s="1"/>
      <c r="M26" s="1"/>
      <c r="N26" s="1"/>
    </row>
    <row r="27" spans="1:14" ht="14.45" customHeight="1" x14ac:dyDescent="0.4">
      <c r="A27" s="1"/>
      <c r="B27" s="12"/>
      <c r="C27" s="13"/>
      <c r="D27" s="12"/>
      <c r="E27" s="12"/>
      <c r="F27" s="12"/>
      <c r="G27" s="12"/>
      <c r="H27" s="12"/>
      <c r="I27" s="1"/>
      <c r="J27" s="1"/>
      <c r="K27" s="1"/>
      <c r="L27" s="1"/>
      <c r="M27" s="1"/>
      <c r="N27" s="1"/>
    </row>
    <row r="28" spans="1:14" ht="14.45" customHeight="1" x14ac:dyDescent="0.4">
      <c r="A28" s="1"/>
      <c r="B28" s="12"/>
      <c r="C28" s="13"/>
      <c r="D28" s="12"/>
      <c r="E28" s="12"/>
      <c r="F28" s="12"/>
      <c r="G28" s="12"/>
      <c r="H28" s="12"/>
      <c r="I28" s="1"/>
      <c r="J28" s="1"/>
      <c r="K28" s="1"/>
      <c r="L28" s="1"/>
      <c r="M28" s="1"/>
      <c r="N28" s="1"/>
    </row>
    <row r="29" spans="1:14" ht="14.45" customHeight="1" x14ac:dyDescent="0.4">
      <c r="A29" s="1"/>
      <c r="B29" s="12"/>
      <c r="C29" s="13"/>
      <c r="D29" s="12"/>
      <c r="E29" s="12"/>
      <c r="F29" s="12"/>
      <c r="G29" s="12"/>
      <c r="H29" s="12"/>
      <c r="I29" s="1"/>
      <c r="J29" s="1"/>
      <c r="K29" s="1"/>
      <c r="L29" s="1"/>
      <c r="M29" s="1"/>
      <c r="N29" s="1"/>
    </row>
    <row r="30" spans="1:14" ht="14.45" customHeight="1" x14ac:dyDescent="0.4">
      <c r="A30" s="1"/>
      <c r="B30" s="12"/>
      <c r="C30" s="13"/>
      <c r="D30" s="12"/>
      <c r="E30" s="12"/>
      <c r="F30" s="12"/>
      <c r="G30" s="12"/>
      <c r="H30" s="12"/>
      <c r="I30" s="1"/>
      <c r="J30" s="1"/>
      <c r="K30" s="1"/>
      <c r="L30" s="1"/>
      <c r="M30" s="1"/>
      <c r="N30" s="1"/>
    </row>
    <row r="31" spans="1:14" ht="14.45" customHeight="1" x14ac:dyDescent="0.4">
      <c r="A31" s="1"/>
      <c r="B31" s="12"/>
      <c r="C31" s="13"/>
      <c r="D31" s="12"/>
      <c r="E31" s="12"/>
      <c r="F31" s="12"/>
      <c r="G31" s="12"/>
      <c r="H31" s="12"/>
      <c r="I31" s="1"/>
      <c r="J31" s="1"/>
      <c r="K31" s="1"/>
      <c r="L31" s="1"/>
      <c r="M31" s="1"/>
      <c r="N31" s="1"/>
    </row>
    <row r="32" spans="1:14" ht="14.45" customHeight="1" x14ac:dyDescent="0.4">
      <c r="A32" s="1"/>
      <c r="B32" s="12"/>
      <c r="C32" s="13"/>
      <c r="D32" s="12"/>
      <c r="E32" s="12"/>
      <c r="F32" s="12"/>
      <c r="G32" s="12"/>
      <c r="H32" s="12"/>
      <c r="I32" s="1"/>
      <c r="J32" s="1"/>
      <c r="K32" s="1"/>
      <c r="L32" s="1"/>
      <c r="M32" s="1"/>
      <c r="N32" s="1"/>
    </row>
    <row r="33" spans="1:14" ht="14.45" customHeight="1" x14ac:dyDescent="0.4">
      <c r="A33" s="1"/>
      <c r="B33" s="12"/>
      <c r="C33" s="13"/>
      <c r="D33" s="12"/>
      <c r="E33" s="12"/>
      <c r="F33" s="12"/>
      <c r="G33" s="12"/>
      <c r="H33" s="12"/>
      <c r="I33" s="1"/>
      <c r="J33" s="1"/>
      <c r="K33" s="1"/>
      <c r="L33" s="1"/>
      <c r="M33" s="1"/>
      <c r="N33" s="1"/>
    </row>
    <row r="34" spans="1:14" ht="14.45" customHeight="1" x14ac:dyDescent="0.4">
      <c r="A34" s="1"/>
      <c r="B34" s="12"/>
      <c r="C34" s="13"/>
      <c r="D34" s="12"/>
      <c r="E34" s="12"/>
      <c r="F34" s="12"/>
      <c r="G34" s="12"/>
      <c r="H34" s="12"/>
      <c r="I34" s="1"/>
      <c r="J34" s="1"/>
      <c r="K34" s="1"/>
      <c r="L34" s="1"/>
      <c r="M34" s="1"/>
      <c r="N34" s="1"/>
    </row>
    <row r="35" spans="1:14" ht="14.45" customHeight="1" x14ac:dyDescent="0.4">
      <c r="A35" s="1"/>
      <c r="B35" s="12"/>
      <c r="C35" s="13"/>
      <c r="D35" s="12"/>
      <c r="E35" s="12"/>
      <c r="F35" s="12"/>
      <c r="G35" s="12"/>
      <c r="H35" s="12"/>
      <c r="I35" s="1"/>
      <c r="J35" s="1"/>
      <c r="K35" s="1"/>
      <c r="L35" s="1"/>
      <c r="M35" s="1"/>
      <c r="N35" s="1"/>
    </row>
    <row r="36" spans="1:14" ht="14.45" customHeight="1" x14ac:dyDescent="0.4">
      <c r="A36" s="1"/>
      <c r="B36" s="12"/>
      <c r="C36" s="13"/>
      <c r="D36" s="12"/>
      <c r="E36" s="12"/>
      <c r="F36" s="12"/>
      <c r="G36" s="12"/>
      <c r="H36" s="12"/>
      <c r="I36" s="1"/>
      <c r="J36" s="1"/>
      <c r="K36" s="1"/>
      <c r="L36" s="1"/>
      <c r="M36" s="1"/>
      <c r="N36" s="1"/>
    </row>
    <row r="37" spans="1:14" ht="14.45" customHeight="1" x14ac:dyDescent="0.4">
      <c r="A37" s="1"/>
      <c r="B37" s="12"/>
      <c r="C37" s="13"/>
      <c r="D37" s="12"/>
      <c r="E37" s="12"/>
      <c r="F37" s="12"/>
      <c r="G37" s="12"/>
      <c r="H37" s="12"/>
      <c r="I37" s="1"/>
      <c r="J37" s="1"/>
      <c r="K37" s="1"/>
      <c r="L37" s="1"/>
      <c r="M37" s="1"/>
      <c r="N37" s="1"/>
    </row>
    <row r="38" spans="1:14" ht="14.45" customHeight="1" x14ac:dyDescent="0.4">
      <c r="A38" s="1"/>
      <c r="B38" s="12"/>
      <c r="C38" s="13"/>
      <c r="D38" s="12"/>
      <c r="E38" s="12"/>
      <c r="F38" s="12"/>
      <c r="G38" s="12"/>
      <c r="H38" s="12"/>
      <c r="I38" s="1"/>
      <c r="J38" s="1"/>
      <c r="K38" s="1"/>
      <c r="L38" s="1"/>
      <c r="M38" s="1"/>
      <c r="N38" s="1"/>
    </row>
    <row r="39" spans="1:14" ht="14.45" customHeight="1" x14ac:dyDescent="0.4">
      <c r="A39" s="1"/>
      <c r="B39" s="12"/>
      <c r="C39" s="13"/>
      <c r="D39" s="12"/>
      <c r="E39" s="12"/>
      <c r="F39" s="12"/>
      <c r="G39" s="12"/>
      <c r="H39" s="12"/>
      <c r="I39" s="1"/>
      <c r="J39" s="1"/>
      <c r="K39" s="1"/>
      <c r="L39" s="1"/>
      <c r="M39" s="1"/>
      <c r="N39" s="1"/>
    </row>
    <row r="40" spans="1:14" ht="14.45" customHeight="1" x14ac:dyDescent="0.4">
      <c r="A40" s="1"/>
      <c r="B40" s="12"/>
      <c r="C40" s="13"/>
      <c r="D40" s="12"/>
      <c r="E40" s="12"/>
      <c r="F40" s="12"/>
      <c r="G40" s="12"/>
      <c r="H40" s="12"/>
      <c r="I40" s="1"/>
      <c r="J40" s="1"/>
      <c r="K40" s="1"/>
      <c r="L40" s="1"/>
      <c r="M40" s="1"/>
      <c r="N40" s="1"/>
    </row>
    <row r="41" spans="1:14" ht="14.45" customHeight="1" x14ac:dyDescent="0.4">
      <c r="A41" s="1"/>
      <c r="B41" s="12"/>
      <c r="C41" s="13"/>
      <c r="D41" s="12"/>
      <c r="E41" s="12"/>
      <c r="F41" s="12"/>
      <c r="G41" s="12"/>
      <c r="H41" s="12"/>
      <c r="I41" s="1"/>
      <c r="J41" s="1"/>
      <c r="K41" s="1"/>
      <c r="L41" s="1"/>
      <c r="M41" s="1"/>
      <c r="N41" s="1"/>
    </row>
    <row r="42" spans="1:14" ht="14.45" customHeight="1" x14ac:dyDescent="0.4">
      <c r="A42" s="1"/>
      <c r="B42" s="12"/>
      <c r="C42" s="13"/>
      <c r="D42" s="12"/>
      <c r="E42" s="12"/>
      <c r="F42" s="12"/>
      <c r="G42" s="12"/>
      <c r="H42" s="12"/>
      <c r="I42" s="1"/>
      <c r="J42" s="1"/>
      <c r="K42" s="1"/>
      <c r="L42" s="1"/>
      <c r="M42" s="1"/>
      <c r="N42" s="1"/>
    </row>
    <row r="43" spans="1:14" ht="14.45" customHeight="1" x14ac:dyDescent="0.4">
      <c r="A43" s="1"/>
      <c r="B43" s="12"/>
      <c r="C43" s="13"/>
      <c r="D43" s="12"/>
      <c r="E43" s="12"/>
      <c r="F43" s="12"/>
      <c r="G43" s="12"/>
      <c r="H43" s="12"/>
      <c r="I43" s="1"/>
      <c r="J43" s="1"/>
      <c r="K43" s="1"/>
      <c r="L43" s="1"/>
      <c r="M43" s="1"/>
      <c r="N43" s="1"/>
    </row>
    <row r="44" spans="1:14" ht="14.45" customHeight="1" x14ac:dyDescent="0.4">
      <c r="A44" s="1"/>
      <c r="B44" s="12"/>
      <c r="C44" s="13"/>
      <c r="D44" s="12"/>
      <c r="E44" s="12"/>
      <c r="F44" s="12"/>
      <c r="G44" s="12"/>
      <c r="H44" s="12"/>
      <c r="I44" s="1"/>
      <c r="J44" s="1"/>
      <c r="K44" s="1"/>
      <c r="L44" s="1"/>
      <c r="M44" s="1"/>
      <c r="N44" s="1"/>
    </row>
    <row r="45" spans="1:14" ht="14.45" customHeight="1" x14ac:dyDescent="0.4">
      <c r="A45" s="1"/>
      <c r="B45" s="12"/>
      <c r="C45" s="13"/>
      <c r="D45" s="12"/>
      <c r="E45" s="12"/>
      <c r="F45" s="12"/>
      <c r="G45" s="12"/>
      <c r="H45" s="12"/>
      <c r="I45" s="1"/>
      <c r="J45" s="1"/>
      <c r="K45" s="1"/>
      <c r="L45" s="1"/>
      <c r="M45" s="1"/>
      <c r="N45" s="1"/>
    </row>
    <row r="46" spans="1:14" ht="14.45" customHeight="1" x14ac:dyDescent="0.4">
      <c r="A46" s="1"/>
      <c r="B46" s="12"/>
      <c r="C46" s="13"/>
      <c r="D46" s="12"/>
      <c r="E46" s="12"/>
      <c r="F46" s="12"/>
      <c r="G46" s="12"/>
      <c r="H46" s="12"/>
      <c r="I46" s="1"/>
      <c r="J46" s="1"/>
      <c r="K46" s="1"/>
      <c r="L46" s="1"/>
      <c r="M46" s="1"/>
      <c r="N46" s="1"/>
    </row>
    <row r="47" spans="1:14" ht="14.45" customHeight="1" x14ac:dyDescent="0.4">
      <c r="A47" s="1"/>
      <c r="B47" s="12"/>
      <c r="C47" s="13"/>
      <c r="D47" s="12"/>
      <c r="E47" s="12"/>
      <c r="F47" s="12"/>
      <c r="G47" s="12"/>
      <c r="H47" s="12"/>
      <c r="I47" s="1"/>
      <c r="J47" s="1"/>
      <c r="K47" s="1"/>
      <c r="L47" s="1"/>
      <c r="M47" s="1"/>
      <c r="N47" s="1"/>
    </row>
    <row r="48" spans="1:14" ht="14.45" customHeight="1" x14ac:dyDescent="0.4">
      <c r="A48" s="1"/>
      <c r="B48" s="12"/>
      <c r="C48" s="13"/>
      <c r="D48" s="12"/>
      <c r="E48" s="12"/>
      <c r="F48" s="12"/>
      <c r="G48" s="12"/>
      <c r="H48" s="12"/>
      <c r="I48" s="1"/>
      <c r="J48" s="1"/>
      <c r="K48" s="1"/>
      <c r="L48" s="1"/>
      <c r="M48" s="1"/>
      <c r="N48" s="1"/>
    </row>
    <row r="49" spans="1:14" ht="14.45" customHeight="1" x14ac:dyDescent="0.4">
      <c r="A49" s="1"/>
      <c r="B49" s="12"/>
      <c r="C49" s="13"/>
      <c r="D49" s="12"/>
      <c r="E49" s="12"/>
      <c r="F49" s="12"/>
      <c r="G49" s="12"/>
      <c r="H49" s="12"/>
      <c r="I49" s="1"/>
      <c r="J49" s="1"/>
      <c r="K49" s="1"/>
      <c r="L49" s="1"/>
      <c r="M49" s="1"/>
      <c r="N49" s="1"/>
    </row>
    <row r="50" spans="1:14" ht="14.45" customHeight="1" x14ac:dyDescent="0.4">
      <c r="A50" s="1"/>
      <c r="B50" s="12"/>
      <c r="C50" s="13"/>
      <c r="D50" s="12"/>
      <c r="E50" s="12"/>
      <c r="F50" s="12"/>
      <c r="G50" s="12"/>
      <c r="H50" s="12"/>
      <c r="I50" s="1"/>
      <c r="J50" s="1"/>
      <c r="K50" s="1"/>
      <c r="L50" s="1"/>
      <c r="M50" s="1"/>
      <c r="N50" s="1"/>
    </row>
    <row r="51" spans="1:14" ht="14.45" customHeight="1" x14ac:dyDescent="0.4">
      <c r="A51" s="1"/>
      <c r="B51" s="12"/>
      <c r="C51" s="13"/>
      <c r="D51" s="12"/>
      <c r="E51" s="12"/>
      <c r="F51" s="12"/>
      <c r="G51" s="12"/>
      <c r="H51" s="12"/>
      <c r="I51" s="1"/>
      <c r="J51" s="1"/>
      <c r="K51" s="1"/>
      <c r="L51" s="1"/>
      <c r="M51" s="1"/>
      <c r="N51" s="1"/>
    </row>
    <row r="52" spans="1:14" ht="14.45" customHeight="1" x14ac:dyDescent="0.4">
      <c r="A52" s="1"/>
      <c r="B52" s="12"/>
      <c r="C52" s="13"/>
      <c r="D52" s="12"/>
      <c r="E52" s="12"/>
      <c r="F52" s="12"/>
      <c r="G52" s="12"/>
      <c r="H52" s="12"/>
      <c r="I52" s="1"/>
      <c r="J52" s="1"/>
      <c r="K52" s="1"/>
      <c r="L52" s="1"/>
      <c r="M52" s="1"/>
      <c r="N52" s="1"/>
    </row>
    <row r="53" spans="1:14" ht="14.45" customHeight="1" x14ac:dyDescent="0.4">
      <c r="A53" s="1"/>
      <c r="B53" s="12"/>
      <c r="C53" s="13"/>
      <c r="D53" s="12"/>
      <c r="E53" s="12"/>
      <c r="F53" s="12"/>
      <c r="G53" s="12"/>
      <c r="H53" s="12"/>
      <c r="I53" s="1"/>
      <c r="J53" s="1"/>
      <c r="K53" s="1"/>
      <c r="L53" s="1"/>
      <c r="M53" s="1"/>
      <c r="N53" s="1"/>
    </row>
    <row r="54" spans="1:14" ht="14.45" customHeight="1" x14ac:dyDescent="0.4">
      <c r="A54" s="1"/>
      <c r="B54" s="12"/>
      <c r="C54" s="13"/>
      <c r="D54" s="12"/>
      <c r="E54" s="12"/>
      <c r="F54" s="12"/>
      <c r="G54" s="12"/>
      <c r="H54" s="12"/>
      <c r="I54" s="1"/>
      <c r="J54" s="1"/>
      <c r="K54" s="1"/>
      <c r="L54" s="1"/>
      <c r="M54" s="1"/>
      <c r="N54" s="1"/>
    </row>
    <row r="55" spans="1:14" ht="14.45" customHeight="1" x14ac:dyDescent="0.4">
      <c r="A55" s="1"/>
      <c r="B55" s="12"/>
      <c r="C55" s="13"/>
      <c r="D55" s="12"/>
      <c r="E55" s="12"/>
      <c r="F55" s="12"/>
      <c r="G55" s="12"/>
      <c r="H55" s="12"/>
      <c r="I55" s="1"/>
      <c r="J55" s="1"/>
      <c r="K55" s="1"/>
      <c r="L55" s="1"/>
      <c r="M55" s="1"/>
      <c r="N55" s="1"/>
    </row>
    <row r="56" spans="1:14" ht="14.45" customHeight="1" x14ac:dyDescent="0.4">
      <c r="A56" s="1"/>
      <c r="B56" s="12"/>
      <c r="C56" s="13"/>
      <c r="D56" s="12"/>
      <c r="E56" s="12"/>
      <c r="F56" s="12"/>
      <c r="G56" s="12"/>
      <c r="H56" s="12"/>
      <c r="I56" s="1"/>
      <c r="J56" s="1"/>
      <c r="K56" s="1"/>
      <c r="L56" s="1"/>
      <c r="M56" s="1"/>
      <c r="N56" s="1"/>
    </row>
    <row r="57" spans="1:14" ht="14.45" customHeight="1" x14ac:dyDescent="0.4">
      <c r="A57" s="1"/>
      <c r="B57" s="12"/>
      <c r="C57" s="13"/>
      <c r="D57" s="12"/>
      <c r="E57" s="12"/>
      <c r="F57" s="12"/>
      <c r="G57" s="12"/>
      <c r="H57" s="12"/>
      <c r="I57" s="1"/>
      <c r="J57" s="1"/>
      <c r="K57" s="1"/>
      <c r="L57" s="1"/>
      <c r="M57" s="1"/>
      <c r="N57" s="1"/>
    </row>
    <row r="58" spans="1:14" ht="14.45" customHeight="1" x14ac:dyDescent="0.4">
      <c r="A58" s="1"/>
      <c r="B58" s="12"/>
      <c r="C58" s="13"/>
      <c r="D58" s="12"/>
      <c r="E58" s="12"/>
      <c r="F58" s="12"/>
      <c r="G58" s="12"/>
      <c r="H58" s="12"/>
      <c r="I58" s="1"/>
      <c r="J58" s="1"/>
      <c r="K58" s="1"/>
      <c r="L58" s="1"/>
      <c r="M58" s="1"/>
      <c r="N58" s="1"/>
    </row>
    <row r="59" spans="1:14" ht="14.45" customHeight="1" x14ac:dyDescent="0.4">
      <c r="A59" s="1"/>
      <c r="B59" s="12"/>
      <c r="C59" s="13"/>
      <c r="D59" s="12"/>
      <c r="E59" s="12"/>
      <c r="F59" s="12"/>
      <c r="G59" s="12"/>
      <c r="H59" s="12"/>
      <c r="I59" s="1"/>
      <c r="J59" s="1"/>
      <c r="K59" s="1"/>
      <c r="L59" s="1"/>
      <c r="M59" s="1"/>
      <c r="N59" s="1"/>
    </row>
    <row r="60" spans="1:14" ht="14.45" customHeight="1" x14ac:dyDescent="0.4">
      <c r="A60" s="1"/>
      <c r="B60" s="12"/>
      <c r="C60" s="13"/>
      <c r="D60" s="12"/>
      <c r="E60" s="12"/>
      <c r="F60" s="12"/>
      <c r="G60" s="12"/>
      <c r="H60" s="12"/>
      <c r="I60" s="1"/>
      <c r="J60" s="1"/>
      <c r="K60" s="1"/>
      <c r="L60" s="1"/>
      <c r="M60" s="1"/>
      <c r="N60" s="1"/>
    </row>
    <row r="61" spans="1:14" ht="14.45" customHeight="1" x14ac:dyDescent="0.4">
      <c r="A61" s="1"/>
      <c r="B61" s="12"/>
      <c r="C61" s="13"/>
      <c r="D61" s="12"/>
      <c r="E61" s="12"/>
      <c r="F61" s="12"/>
      <c r="G61" s="12"/>
      <c r="H61" s="12"/>
      <c r="I61" s="1"/>
      <c r="J61" s="1"/>
      <c r="K61" s="1"/>
      <c r="L61" s="1"/>
      <c r="M61" s="1"/>
      <c r="N61" s="1"/>
    </row>
    <row r="62" spans="1:14" ht="14.45" customHeight="1" x14ac:dyDescent="0.4">
      <c r="A62" s="1"/>
      <c r="B62" s="12"/>
      <c r="C62" s="13"/>
      <c r="D62" s="12"/>
      <c r="E62" s="12"/>
      <c r="F62" s="12"/>
      <c r="G62" s="12"/>
      <c r="H62" s="12"/>
      <c r="I62" s="1"/>
      <c r="J62" s="1"/>
      <c r="K62" s="1"/>
      <c r="L62" s="1"/>
      <c r="M62" s="1"/>
      <c r="N62" s="1"/>
    </row>
    <row r="63" spans="1:14" ht="14.45" customHeight="1" x14ac:dyDescent="0.4">
      <c r="A63" s="1"/>
      <c r="B63" s="12"/>
      <c r="C63" s="13"/>
      <c r="D63" s="12"/>
      <c r="E63" s="12"/>
      <c r="F63" s="12"/>
      <c r="G63" s="12"/>
      <c r="H63" s="12"/>
      <c r="I63" s="1"/>
      <c r="J63" s="1"/>
      <c r="K63" s="1"/>
      <c r="L63" s="1"/>
      <c r="M63" s="1"/>
      <c r="N63" s="1"/>
    </row>
    <row r="64" spans="1:14" ht="14.45" customHeight="1" x14ac:dyDescent="0.4">
      <c r="A64" s="1"/>
      <c r="B64" s="12"/>
      <c r="C64" s="13"/>
      <c r="D64" s="12"/>
      <c r="E64" s="12"/>
      <c r="F64" s="12"/>
      <c r="G64" s="12"/>
      <c r="H64" s="12"/>
      <c r="I64" s="1"/>
      <c r="J64" s="1"/>
      <c r="K64" s="1"/>
      <c r="L64" s="1"/>
      <c r="M64" s="1"/>
      <c r="N64" s="1"/>
    </row>
    <row r="65" spans="1:14" ht="14.45" customHeight="1" x14ac:dyDescent="0.4">
      <c r="A65" s="1"/>
      <c r="B65" s="12"/>
      <c r="C65" s="13"/>
      <c r="D65" s="12"/>
      <c r="E65" s="12"/>
      <c r="F65" s="12"/>
      <c r="G65" s="12"/>
      <c r="H65" s="12"/>
      <c r="I65" s="1"/>
      <c r="J65" s="1"/>
      <c r="K65" s="1"/>
      <c r="L65" s="1"/>
      <c r="M65" s="1"/>
      <c r="N65" s="1"/>
    </row>
    <row r="66" spans="1:14" ht="14.45" customHeight="1" x14ac:dyDescent="0.4">
      <c r="A66" s="1"/>
      <c r="B66" s="12"/>
      <c r="C66" s="13"/>
      <c r="D66" s="12"/>
      <c r="E66" s="12"/>
      <c r="F66" s="12"/>
      <c r="G66" s="12"/>
      <c r="H66" s="12"/>
      <c r="I66" s="1"/>
      <c r="J66" s="1"/>
      <c r="K66" s="1"/>
      <c r="L66" s="1"/>
      <c r="M66" s="1"/>
      <c r="N66" s="1"/>
    </row>
    <row r="67" spans="1:14" ht="14.45" customHeight="1" x14ac:dyDescent="0.4">
      <c r="A67" s="1"/>
      <c r="B67" s="12"/>
      <c r="C67" s="13"/>
      <c r="D67" s="12"/>
      <c r="E67" s="12"/>
      <c r="F67" s="12"/>
      <c r="G67" s="12"/>
      <c r="H67" s="12"/>
      <c r="I67" s="1"/>
      <c r="J67" s="1"/>
      <c r="K67" s="1"/>
      <c r="L67" s="1"/>
      <c r="M67" s="1"/>
      <c r="N67" s="1"/>
    </row>
    <row r="68" spans="1:14" ht="14.45" customHeight="1" x14ac:dyDescent="0.4">
      <c r="A68" s="1"/>
      <c r="B68" s="12"/>
      <c r="C68" s="13"/>
      <c r="D68" s="12"/>
      <c r="E68" s="12"/>
      <c r="F68" s="12"/>
      <c r="G68" s="12"/>
      <c r="H68" s="12"/>
      <c r="I68" s="1"/>
      <c r="J68" s="1"/>
      <c r="K68" s="1"/>
      <c r="L68" s="1"/>
      <c r="M68" s="1"/>
      <c r="N68" s="1"/>
    </row>
    <row r="69" spans="1:14" ht="14.45" customHeight="1" x14ac:dyDescent="0.4">
      <c r="A69" s="1"/>
      <c r="B69" s="12"/>
      <c r="C69" s="13"/>
      <c r="D69" s="12"/>
      <c r="E69" s="12"/>
      <c r="F69" s="12"/>
      <c r="G69" s="12"/>
      <c r="H69" s="12"/>
      <c r="I69" s="1"/>
      <c r="J69" s="1"/>
      <c r="K69" s="1"/>
      <c r="L69" s="1"/>
      <c r="M69" s="1"/>
      <c r="N69" s="1"/>
    </row>
    <row r="70" spans="1:14" ht="14.45" customHeight="1" x14ac:dyDescent="0.4">
      <c r="A70" s="1"/>
      <c r="B70" s="12"/>
      <c r="C70" s="13"/>
      <c r="D70" s="12"/>
      <c r="E70" s="12"/>
      <c r="F70" s="12"/>
      <c r="G70" s="12"/>
      <c r="H70" s="12"/>
      <c r="I70" s="1"/>
      <c r="J70" s="1"/>
      <c r="K70" s="1"/>
      <c r="L70" s="1"/>
      <c r="M70" s="1"/>
      <c r="N70" s="1"/>
    </row>
    <row r="71" spans="1:14" ht="14.45" customHeight="1" x14ac:dyDescent="0.4">
      <c r="A71" s="1"/>
      <c r="B71" s="12"/>
      <c r="C71" s="13"/>
      <c r="D71" s="12"/>
      <c r="E71" s="12"/>
      <c r="F71" s="12"/>
      <c r="G71" s="12"/>
      <c r="H71" s="12"/>
      <c r="I71" s="1"/>
      <c r="J71" s="1"/>
      <c r="K71" s="1"/>
      <c r="L71" s="1"/>
      <c r="M71" s="1"/>
      <c r="N71" s="1"/>
    </row>
    <row r="72" spans="1:14" ht="14.45" customHeight="1" x14ac:dyDescent="0.4">
      <c r="A72" s="1"/>
      <c r="B72" s="12"/>
      <c r="C72" s="13"/>
      <c r="D72" s="12"/>
      <c r="E72" s="12"/>
      <c r="F72" s="12"/>
      <c r="G72" s="12"/>
      <c r="H72" s="12"/>
      <c r="I72" s="1"/>
      <c r="J72" s="1"/>
      <c r="K72" s="1"/>
      <c r="L72" s="1"/>
      <c r="M72" s="1"/>
      <c r="N72" s="1"/>
    </row>
    <row r="73" spans="1:14" ht="14.45" customHeight="1" x14ac:dyDescent="0.4">
      <c r="A73" s="1"/>
      <c r="B73" s="12"/>
      <c r="C73" s="13"/>
      <c r="D73" s="12"/>
      <c r="E73" s="12"/>
      <c r="F73" s="12"/>
      <c r="G73" s="12"/>
      <c r="H73" s="12"/>
      <c r="I73" s="1"/>
      <c r="J73" s="1"/>
      <c r="K73" s="1"/>
      <c r="L73" s="1"/>
      <c r="M73" s="1"/>
      <c r="N73" s="1"/>
    </row>
    <row r="74" spans="1:14" ht="14.45" customHeight="1" x14ac:dyDescent="0.4">
      <c r="A74" s="1"/>
      <c r="B74" s="12"/>
      <c r="C74" s="13"/>
      <c r="D74" s="12"/>
      <c r="E74" s="12"/>
      <c r="F74" s="12"/>
      <c r="G74" s="12"/>
      <c r="H74" s="12"/>
      <c r="I74" s="1"/>
      <c r="J74" s="1"/>
      <c r="K74" s="1"/>
      <c r="L74" s="1"/>
      <c r="M74" s="1"/>
      <c r="N74" s="1"/>
    </row>
    <row r="75" spans="1:14" ht="14.45" customHeight="1" x14ac:dyDescent="0.4">
      <c r="A75" s="1"/>
      <c r="B75" s="12"/>
      <c r="C75" s="13"/>
      <c r="D75" s="12"/>
      <c r="E75" s="12"/>
      <c r="F75" s="12"/>
      <c r="G75" s="12"/>
      <c r="H75" s="12"/>
      <c r="I75" s="1"/>
      <c r="J75" s="1"/>
      <c r="K75" s="1"/>
      <c r="L75" s="1"/>
      <c r="M75" s="1"/>
      <c r="N75" s="1"/>
    </row>
    <row r="76" spans="1:14" ht="14.45" customHeight="1" x14ac:dyDescent="0.4">
      <c r="A76" s="1"/>
      <c r="B76" s="12"/>
      <c r="C76" s="13"/>
      <c r="D76" s="12"/>
      <c r="E76" s="12"/>
      <c r="F76" s="12"/>
      <c r="G76" s="12"/>
      <c r="H76" s="12"/>
      <c r="I76" s="1"/>
      <c r="J76" s="1"/>
      <c r="K76" s="1"/>
      <c r="L76" s="1"/>
      <c r="M76" s="1"/>
      <c r="N76" s="1"/>
    </row>
    <row r="77" spans="1:14" ht="14.45" customHeight="1" x14ac:dyDescent="0.4">
      <c r="A77" s="1"/>
      <c r="B77" s="12"/>
      <c r="C77" s="13"/>
      <c r="D77" s="12"/>
      <c r="E77" s="12"/>
      <c r="F77" s="12"/>
      <c r="G77" s="12"/>
      <c r="H77" s="12"/>
      <c r="I77" s="1"/>
      <c r="J77" s="1"/>
      <c r="K77" s="1"/>
      <c r="L77" s="1"/>
      <c r="M77" s="1"/>
      <c r="N77" s="1"/>
    </row>
    <row r="78" spans="1:14" ht="14.45" customHeight="1" x14ac:dyDescent="0.4">
      <c r="A78" s="1"/>
      <c r="B78" s="12"/>
      <c r="C78" s="13"/>
      <c r="D78" s="12"/>
      <c r="E78" s="12"/>
      <c r="F78" s="12"/>
      <c r="G78" s="12"/>
      <c r="H78" s="12"/>
      <c r="I78" s="1"/>
      <c r="J78" s="1"/>
      <c r="K78" s="1"/>
      <c r="L78" s="1"/>
      <c r="M78" s="1"/>
      <c r="N78" s="1"/>
    </row>
    <row r="79" spans="1:14" ht="14.45" customHeight="1" x14ac:dyDescent="0.4">
      <c r="A79" s="1"/>
      <c r="B79" s="12"/>
      <c r="C79" s="13"/>
      <c r="D79" s="12"/>
      <c r="E79" s="12"/>
      <c r="F79" s="12"/>
      <c r="G79" s="12"/>
      <c r="H79" s="12"/>
      <c r="I79" s="1"/>
      <c r="J79" s="1"/>
      <c r="K79" s="1"/>
      <c r="L79" s="1"/>
      <c r="M79" s="1"/>
      <c r="N79" s="1"/>
    </row>
    <row r="80" spans="1:14" ht="14.45" customHeight="1" x14ac:dyDescent="0.4">
      <c r="A80" s="1"/>
      <c r="B80" s="12"/>
      <c r="C80" s="13"/>
      <c r="D80" s="12"/>
      <c r="E80" s="12"/>
      <c r="F80" s="12"/>
      <c r="G80" s="12"/>
      <c r="H80" s="12"/>
      <c r="I80" s="1"/>
      <c r="J80" s="1"/>
      <c r="K80" s="1"/>
      <c r="L80" s="1"/>
      <c r="M80" s="1"/>
      <c r="N80" s="1"/>
    </row>
    <row r="81" spans="1:14" ht="14.45" customHeight="1" x14ac:dyDescent="0.4">
      <c r="A81" s="1"/>
      <c r="B81" s="12"/>
      <c r="C81" s="13"/>
      <c r="D81" s="12"/>
      <c r="E81" s="12"/>
      <c r="F81" s="12"/>
      <c r="G81" s="12"/>
      <c r="H81" s="12"/>
      <c r="I81" s="1"/>
      <c r="J81" s="1"/>
      <c r="K81" s="1"/>
      <c r="L81" s="1"/>
      <c r="M81" s="1"/>
      <c r="N81" s="1"/>
    </row>
    <row r="82" spans="1:14" ht="14.45" customHeight="1" x14ac:dyDescent="0.4">
      <c r="A82" s="1"/>
      <c r="B82" s="12"/>
      <c r="C82" s="13"/>
      <c r="D82" s="12"/>
      <c r="E82" s="12"/>
      <c r="F82" s="12"/>
      <c r="G82" s="12"/>
      <c r="H82" s="12"/>
      <c r="I82" s="1"/>
      <c r="J82" s="1"/>
      <c r="K82" s="1"/>
      <c r="L82" s="1"/>
      <c r="M82" s="1"/>
      <c r="N82" s="1"/>
    </row>
    <row r="83" spans="1:14" ht="14.45" customHeight="1" x14ac:dyDescent="0.4">
      <c r="A83" s="1"/>
      <c r="B83" s="12"/>
      <c r="C83" s="13"/>
      <c r="D83" s="12"/>
      <c r="E83" s="12"/>
      <c r="F83" s="12"/>
      <c r="G83" s="12"/>
      <c r="H83" s="12"/>
      <c r="I83" s="1"/>
      <c r="J83" s="1"/>
      <c r="K83" s="1"/>
      <c r="L83" s="1"/>
      <c r="M83" s="1"/>
      <c r="N83" s="1"/>
    </row>
    <row r="84" spans="1:14" ht="14.45" customHeight="1" x14ac:dyDescent="0.4">
      <c r="A84" s="1"/>
      <c r="B84" s="12"/>
      <c r="C84" s="13"/>
      <c r="D84" s="12"/>
      <c r="E84" s="12"/>
      <c r="F84" s="12"/>
      <c r="G84" s="12"/>
      <c r="H84" s="12"/>
      <c r="I84" s="1"/>
      <c r="J84" s="1"/>
      <c r="K84" s="1"/>
      <c r="L84" s="1"/>
      <c r="M84" s="1"/>
      <c r="N84" s="1"/>
    </row>
    <row r="85" spans="1:14" ht="14.45" customHeight="1" x14ac:dyDescent="0.4">
      <c r="A85" s="1"/>
      <c r="B85" s="12"/>
      <c r="C85" s="13"/>
      <c r="D85" s="12"/>
      <c r="E85" s="12"/>
      <c r="F85" s="12"/>
      <c r="G85" s="12"/>
      <c r="H85" s="12"/>
      <c r="I85" s="1"/>
      <c r="J85" s="1"/>
      <c r="K85" s="1"/>
      <c r="L85" s="1"/>
      <c r="M85" s="1"/>
      <c r="N85" s="1"/>
    </row>
    <row r="86" spans="1:14" ht="14.45" customHeight="1" x14ac:dyDescent="0.4">
      <c r="A86" s="1"/>
      <c r="B86" s="12"/>
      <c r="C86" s="13"/>
      <c r="D86" s="12"/>
      <c r="E86" s="12"/>
      <c r="F86" s="12"/>
      <c r="G86" s="12"/>
      <c r="H86" s="12"/>
      <c r="I86" s="1"/>
      <c r="J86" s="1"/>
      <c r="K86" s="1"/>
      <c r="L86" s="1"/>
      <c r="M86" s="1"/>
      <c r="N86" s="1"/>
    </row>
    <row r="87" spans="1:14" ht="14.45" customHeight="1" x14ac:dyDescent="0.4">
      <c r="A87" s="1"/>
      <c r="B87" s="12"/>
      <c r="C87" s="13"/>
      <c r="D87" s="12"/>
      <c r="E87" s="12"/>
      <c r="F87" s="12"/>
      <c r="G87" s="12"/>
      <c r="H87" s="12"/>
      <c r="I87" s="1"/>
      <c r="J87" s="1"/>
      <c r="K87" s="1"/>
      <c r="L87" s="1"/>
      <c r="M87" s="1"/>
      <c r="N87" s="1"/>
    </row>
    <row r="88" spans="1:14" ht="14.45" customHeight="1" x14ac:dyDescent="0.4">
      <c r="A88" s="1"/>
      <c r="B88" s="12"/>
      <c r="C88" s="13"/>
      <c r="D88" s="12"/>
      <c r="E88" s="12"/>
      <c r="F88" s="12"/>
      <c r="G88" s="12"/>
      <c r="H88" s="12"/>
      <c r="I88" s="1"/>
      <c r="J88" s="1"/>
      <c r="K88" s="1"/>
      <c r="L88" s="1"/>
      <c r="M88" s="1"/>
      <c r="N88" s="1"/>
    </row>
    <row r="89" spans="1:14" ht="14.45" customHeight="1" x14ac:dyDescent="0.4">
      <c r="A89" s="1"/>
      <c r="B89" s="12"/>
      <c r="C89" s="13"/>
      <c r="D89" s="12"/>
      <c r="E89" s="12"/>
      <c r="F89" s="12"/>
      <c r="G89" s="12"/>
      <c r="H89" s="12"/>
      <c r="I89" s="1"/>
      <c r="J89" s="1"/>
      <c r="K89" s="1"/>
      <c r="L89" s="1"/>
      <c r="M89" s="1"/>
      <c r="N89" s="1"/>
    </row>
    <row r="90" spans="1:14" ht="14.45" customHeight="1" x14ac:dyDescent="0.4">
      <c r="A90" s="1"/>
      <c r="B90" s="12"/>
      <c r="C90" s="13"/>
      <c r="D90" s="12"/>
      <c r="E90" s="12"/>
      <c r="F90" s="12"/>
      <c r="G90" s="12"/>
      <c r="H90" s="12"/>
      <c r="I90" s="1"/>
      <c r="J90" s="1"/>
      <c r="K90" s="1"/>
      <c r="L90" s="1"/>
      <c r="M90" s="1"/>
      <c r="N90" s="1"/>
    </row>
    <row r="91" spans="1:14" ht="14.45" customHeight="1" x14ac:dyDescent="0.4">
      <c r="A91" s="1"/>
      <c r="B91" s="12"/>
      <c r="C91" s="13"/>
      <c r="D91" s="12"/>
      <c r="E91" s="12"/>
      <c r="F91" s="12"/>
      <c r="G91" s="12"/>
      <c r="H91" s="12"/>
      <c r="I91" s="1"/>
      <c r="J91" s="1"/>
      <c r="K91" s="1"/>
      <c r="L91" s="1"/>
      <c r="M91" s="1"/>
      <c r="N91" s="1"/>
    </row>
    <row r="92" spans="1:14" ht="14.45" customHeight="1" x14ac:dyDescent="0.4">
      <c r="A92" s="1"/>
      <c r="B92" s="12"/>
      <c r="C92" s="13"/>
      <c r="D92" s="12"/>
      <c r="E92" s="12"/>
      <c r="F92" s="12"/>
      <c r="G92" s="12"/>
      <c r="H92" s="12"/>
      <c r="I92" s="1"/>
      <c r="J92" s="1"/>
      <c r="K92" s="1"/>
      <c r="L92" s="1"/>
      <c r="M92" s="1"/>
      <c r="N92" s="1"/>
    </row>
    <row r="93" spans="1:14" ht="14.45" customHeight="1" x14ac:dyDescent="0.4">
      <c r="A93" s="1"/>
      <c r="B93" s="12"/>
      <c r="C93" s="13"/>
      <c r="D93" s="12"/>
      <c r="E93" s="12"/>
      <c r="F93" s="12"/>
      <c r="G93" s="12"/>
      <c r="H93" s="12"/>
      <c r="I93" s="1"/>
      <c r="J93" s="1"/>
      <c r="K93" s="1"/>
      <c r="L93" s="1"/>
      <c r="M93" s="1"/>
      <c r="N93" s="1"/>
    </row>
    <row r="94" spans="1:14" ht="14.45" customHeight="1" x14ac:dyDescent="0.4">
      <c r="A94" s="1"/>
      <c r="B94" s="12"/>
      <c r="C94" s="13"/>
      <c r="D94" s="12"/>
      <c r="E94" s="12"/>
      <c r="F94" s="12"/>
      <c r="G94" s="12"/>
      <c r="H94" s="12"/>
      <c r="I94" s="1"/>
      <c r="J94" s="1"/>
      <c r="K94" s="1"/>
      <c r="L94" s="1"/>
      <c r="M94" s="1"/>
      <c r="N94" s="1"/>
    </row>
    <row r="95" spans="1:14" ht="14.45" customHeight="1" x14ac:dyDescent="0.4">
      <c r="A95" s="1"/>
      <c r="B95" s="12"/>
      <c r="C95" s="13"/>
      <c r="D95" s="12"/>
      <c r="E95" s="12"/>
      <c r="F95" s="12"/>
      <c r="G95" s="12"/>
      <c r="H95" s="12"/>
      <c r="I95" s="1"/>
      <c r="J95" s="1"/>
      <c r="K95" s="1"/>
      <c r="L95" s="1"/>
      <c r="M95" s="1"/>
      <c r="N95" s="1"/>
    </row>
    <row r="96" spans="1:14" ht="14.45" customHeight="1" x14ac:dyDescent="0.4">
      <c r="A96" s="1"/>
      <c r="B96" s="12"/>
      <c r="C96" s="13"/>
      <c r="D96" s="12"/>
      <c r="E96" s="12"/>
      <c r="F96" s="12"/>
      <c r="G96" s="12"/>
      <c r="H96" s="12"/>
      <c r="I96" s="1"/>
      <c r="J96" s="1"/>
      <c r="K96" s="1"/>
      <c r="L96" s="1"/>
      <c r="M96" s="1"/>
      <c r="N96" s="1"/>
    </row>
    <row r="97" spans="1:14" ht="14.45" customHeight="1" x14ac:dyDescent="0.4">
      <c r="A97" s="1"/>
      <c r="B97" s="12"/>
      <c r="C97" s="13"/>
      <c r="D97" s="12"/>
      <c r="E97" s="12"/>
      <c r="F97" s="12"/>
      <c r="G97" s="12"/>
      <c r="H97" s="12"/>
      <c r="I97" s="1"/>
      <c r="J97" s="1"/>
      <c r="K97" s="1"/>
      <c r="L97" s="1"/>
      <c r="M97" s="1"/>
      <c r="N97" s="1"/>
    </row>
    <row r="98" spans="1:14" ht="14.45" customHeight="1" x14ac:dyDescent="0.4">
      <c r="A98" s="1"/>
      <c r="B98" s="12"/>
      <c r="C98" s="13"/>
      <c r="D98" s="12"/>
      <c r="E98" s="12"/>
      <c r="F98" s="12"/>
      <c r="G98" s="12"/>
      <c r="H98" s="12"/>
      <c r="I98" s="1"/>
      <c r="J98" s="1"/>
      <c r="K98" s="1"/>
      <c r="L98" s="1"/>
      <c r="M98" s="1"/>
      <c r="N98" s="1"/>
    </row>
    <row r="99" spans="1:14" ht="14.45" customHeight="1" x14ac:dyDescent="0.4">
      <c r="A99" s="1"/>
      <c r="B99" s="12"/>
      <c r="C99" s="13"/>
      <c r="D99" s="12"/>
      <c r="E99" s="12"/>
      <c r="F99" s="12"/>
      <c r="G99" s="12"/>
      <c r="H99" s="12"/>
      <c r="I99" s="1"/>
      <c r="J99" s="1"/>
      <c r="K99" s="1"/>
      <c r="L99" s="1"/>
      <c r="M99" s="1"/>
      <c r="N99" s="1"/>
    </row>
    <row r="100" spans="1:14" ht="14.45" customHeight="1" x14ac:dyDescent="0.4">
      <c r="A100" s="1"/>
      <c r="B100" s="12"/>
      <c r="C100" s="13"/>
      <c r="D100" s="12"/>
      <c r="E100" s="12"/>
      <c r="F100" s="12"/>
      <c r="G100" s="12"/>
      <c r="H100" s="12"/>
      <c r="I100" s="1"/>
      <c r="J100" s="1"/>
      <c r="K100" s="1"/>
      <c r="L100" s="1"/>
      <c r="M100" s="1"/>
      <c r="N100" s="1"/>
    </row>
    <row r="101" spans="1:14" ht="14.45" customHeight="1" x14ac:dyDescent="0.4">
      <c r="A101" s="1"/>
      <c r="B101" s="12"/>
      <c r="C101" s="13"/>
      <c r="D101" s="12"/>
      <c r="E101" s="12"/>
      <c r="F101" s="12"/>
      <c r="G101" s="12"/>
      <c r="H101" s="12"/>
      <c r="I101" s="1"/>
      <c r="J101" s="1"/>
      <c r="K101" s="1"/>
      <c r="L101" s="1"/>
      <c r="M101" s="1"/>
      <c r="N101" s="1"/>
    </row>
    <row r="102" spans="1:14" ht="14.45" customHeight="1" x14ac:dyDescent="0.4">
      <c r="A102" s="1"/>
      <c r="B102" s="12"/>
      <c r="C102" s="13"/>
      <c r="D102" s="12"/>
      <c r="E102" s="12"/>
      <c r="F102" s="12"/>
      <c r="G102" s="12"/>
      <c r="H102" s="12"/>
      <c r="I102" s="1"/>
      <c r="J102" s="1"/>
      <c r="K102" s="1"/>
      <c r="L102" s="1"/>
      <c r="M102" s="1"/>
      <c r="N102" s="1"/>
    </row>
    <row r="103" spans="1:14" ht="14.45" customHeight="1" x14ac:dyDescent="0.4">
      <c r="A103" s="1"/>
      <c r="B103" s="12"/>
      <c r="C103" s="13"/>
      <c r="D103" s="12"/>
      <c r="E103" s="12"/>
      <c r="F103" s="12"/>
      <c r="G103" s="12"/>
      <c r="H103" s="12"/>
      <c r="I103" s="1"/>
      <c r="J103" s="1"/>
      <c r="K103" s="1"/>
      <c r="L103" s="1"/>
      <c r="M103" s="1"/>
      <c r="N103" s="1"/>
    </row>
    <row r="104" spans="1:14" ht="14.45" customHeight="1" x14ac:dyDescent="0.4">
      <c r="A104" s="1"/>
      <c r="B104" s="12"/>
      <c r="C104" s="13"/>
      <c r="D104" s="12"/>
      <c r="E104" s="12"/>
      <c r="F104" s="12"/>
      <c r="G104" s="12"/>
      <c r="H104" s="12"/>
      <c r="I104" s="1"/>
      <c r="J104" s="1"/>
      <c r="K104" s="1"/>
      <c r="L104" s="1"/>
      <c r="M104" s="1"/>
      <c r="N104" s="1"/>
    </row>
    <row r="105" spans="1:14" ht="14.45" customHeight="1" x14ac:dyDescent="0.4">
      <c r="A105" s="1"/>
      <c r="B105" s="12"/>
      <c r="C105" s="13"/>
      <c r="D105" s="12"/>
      <c r="E105" s="12"/>
      <c r="F105" s="12"/>
      <c r="G105" s="12"/>
      <c r="H105" s="12"/>
      <c r="I105" s="1"/>
      <c r="J105" s="1"/>
      <c r="K105" s="1"/>
      <c r="L105" s="1"/>
      <c r="M105" s="1"/>
      <c r="N105" s="1"/>
    </row>
    <row r="106" spans="1:14" ht="14.45" customHeight="1" x14ac:dyDescent="0.4">
      <c r="A106" s="1"/>
      <c r="B106" s="12"/>
      <c r="C106" s="13"/>
      <c r="D106" s="12"/>
      <c r="E106" s="12"/>
      <c r="F106" s="12"/>
      <c r="G106" s="12"/>
      <c r="H106" s="12"/>
      <c r="I106" s="1"/>
      <c r="J106" s="1"/>
      <c r="K106" s="1"/>
      <c r="L106" s="1"/>
      <c r="M106" s="1"/>
      <c r="N106" s="1"/>
    </row>
    <row r="107" spans="1:14" ht="14.45" customHeight="1" x14ac:dyDescent="0.4">
      <c r="A107" s="1"/>
      <c r="B107" s="12"/>
      <c r="C107" s="13"/>
      <c r="D107" s="12"/>
      <c r="E107" s="12"/>
      <c r="F107" s="12"/>
      <c r="G107" s="12"/>
      <c r="H107" s="12"/>
      <c r="I107" s="1"/>
      <c r="J107" s="1"/>
      <c r="K107" s="1"/>
      <c r="L107" s="1"/>
      <c r="M107" s="1"/>
      <c r="N107" s="1"/>
    </row>
    <row r="108" spans="1:14" ht="14.45" customHeight="1" x14ac:dyDescent="0.4">
      <c r="A108" s="1"/>
      <c r="B108" s="12"/>
      <c r="C108" s="13"/>
      <c r="D108" s="12"/>
      <c r="E108" s="12"/>
      <c r="F108" s="12"/>
      <c r="G108" s="12"/>
      <c r="H108" s="12"/>
      <c r="I108" s="1"/>
      <c r="J108" s="1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1">
    <mergeCell ref="B2:N3"/>
  </mergeCells>
  <dataValidations count="3">
    <dataValidation type="date" sqref="C9:C108" xr:uid="{00000000-0002-0000-0700-000000000000}">
      <formula1>DATE(2020,1,1)</formula1>
      <formula2>DATE(2035,12,31)</formula2>
    </dataValidation>
    <dataValidation type="list" errorTitle="Invalid Entry" error="Select a value from the dropdown list." sqref="D9:D108" xr:uid="{00000000-0002-0000-0700-000001000000}">
      <formula1>list_Note_Scenario</formula1>
    </dataValidation>
    <dataValidation type="list" errorTitle="Invalid Entry" error="Select a value from the dropdown list." sqref="G9:G108" xr:uid="{00000000-0002-0000-0700-000002000000}">
      <formula1>list_Link_Module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34E64"/>
  </sheetPr>
  <dimension ref="A1:N14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"/>
  <cols>
    <col min="1" max="1" width="2.46484375" customWidth="1"/>
    <col min="2" max="14" width="14" customWidth="1"/>
  </cols>
  <sheetData>
    <row r="1" spans="1:14" ht="14.4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 x14ac:dyDescent="0.4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" customHeight="1" x14ac:dyDescent="0.4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4.4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4.45" customHeight="1" x14ac:dyDescent="0.4">
      <c r="A6" s="1"/>
      <c r="B6" s="2" t="s">
        <v>205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4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45" customHeight="1" x14ac:dyDescent="0.4">
      <c r="A8" s="1"/>
      <c r="B8" s="10" t="s">
        <v>206</v>
      </c>
      <c r="C8" s="10" t="s">
        <v>207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45" customHeight="1" x14ac:dyDescent="0.4">
      <c r="A9" s="1"/>
      <c r="B9" s="9" t="s">
        <v>208</v>
      </c>
      <c r="C9" s="9">
        <f>COUNTA(tbl_Timeline_Tasks[Task_ID])</f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4.45" customHeight="1" x14ac:dyDescent="0.4">
      <c r="A10" s="1"/>
      <c r="B10" s="3" t="s">
        <v>209</v>
      </c>
      <c r="C10" s="3">
        <f>COUNTIF(tbl_Timeline_Tasks[Status],"Completed")</f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.45" customHeight="1" x14ac:dyDescent="0.4">
      <c r="A11" s="1"/>
      <c r="B11" s="9" t="s">
        <v>109</v>
      </c>
      <c r="C11" s="14" t="e">
        <f>IF(B8&gt;0,B9/B8,0)</f>
        <v>#VALUE!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4.45" customHeight="1" x14ac:dyDescent="0.4">
      <c r="A12" s="1"/>
      <c r="B12" s="3" t="s">
        <v>113</v>
      </c>
      <c r="C12" s="3">
        <f ca="1">COUNTIFS(tbl_Timeline_Tasks[Status],"&lt;&gt;Completed",tbl_Timeline_Tasks[Due_Date],"&lt;"&amp;TODAY())</f>
        <v>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4.45" customHeight="1" x14ac:dyDescent="0.4">
      <c r="A13" s="1"/>
      <c r="B13" s="9" t="s">
        <v>110</v>
      </c>
      <c r="C13" s="15">
        <f>SUM(tbl_Budget_Manager[Plan_Budget])</f>
        <v>450000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4.45" customHeight="1" x14ac:dyDescent="0.4">
      <c r="A14" s="1"/>
      <c r="B14" s="3" t="s">
        <v>111</v>
      </c>
      <c r="C14" s="16">
        <f>SUM(tbl_Budget_Manager[Actual_Cost])</f>
        <v>260000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4.45" customHeight="1" x14ac:dyDescent="0.4">
      <c r="A15" s="1"/>
      <c r="B15" s="9" t="s">
        <v>75</v>
      </c>
      <c r="C15" s="15">
        <f>SUM(tbl_Vendor_Tracker[Deposit_Paid])</f>
        <v>65000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4.45" customHeight="1" x14ac:dyDescent="0.4">
      <c r="A16" s="1"/>
      <c r="B16" s="3" t="s">
        <v>210</v>
      </c>
      <c r="C16" s="16">
        <f>SUM(tbl_Vendor_Tracker[Final_Balance])</f>
        <v>195000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45" customHeight="1" x14ac:dyDescent="0.4">
      <c r="A17" s="1"/>
      <c r="B17" s="9" t="s">
        <v>211</v>
      </c>
      <c r="C17" s="9">
        <f>SUM(tbl_Guest_RSVP[Est_Guests])</f>
        <v>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45" customHeight="1" x14ac:dyDescent="0.4">
      <c r="A18" s="1"/>
      <c r="B18" s="3" t="s">
        <v>112</v>
      </c>
      <c r="C18" s="3">
        <f>SUMIFS(tbl_Guest_RSVP[Act_Guests],tbl_Guest_RSVP[RSVP_Status],"Confirmed")</f>
        <v>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45" customHeight="1" x14ac:dyDescent="0.4">
      <c r="A19" s="1"/>
      <c r="B19" s="9" t="s">
        <v>212</v>
      </c>
      <c r="C19" s="9">
        <f>SUMIFS(tbl_Guest_RSVP[Est_Guests],tbl_Guest_RSVP[RSVP_Status],"Tentative")</f>
        <v>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4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4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45" customHeight="1" x14ac:dyDescent="0.4">
      <c r="A22" s="1"/>
      <c r="B22" s="4" t="s">
        <v>213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45" customHeight="1" x14ac:dyDescent="0.4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4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4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4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4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4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.4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.4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.4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4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4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4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4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4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4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4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4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4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4.4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4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4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4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4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4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4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4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4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4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4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.4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.4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.4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4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4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4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4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4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4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4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4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4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4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4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4.4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4.4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4.4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4.4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4.4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4.4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4.4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4.4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4.4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4.4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4.4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4.4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4.4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4.4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4.4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4.4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4.4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4.4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4.4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4.4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4.4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4.4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4.4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4.4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4.4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4.4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4.4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4.4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4.4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4.4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4.4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4.4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4.4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4.4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4.4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4.4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4.4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4.4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4.4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4.4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4.4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4.4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4.4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4.4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4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4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4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4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4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4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4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4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4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4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4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4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4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4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4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4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4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4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4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4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4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4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4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4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4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4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4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4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4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4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4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1">
    <mergeCell ref="B2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23</vt:i4>
      </vt:variant>
    </vt:vector>
  </HeadingPairs>
  <TitlesOfParts>
    <vt:vector size="32" baseType="lpstr">
      <vt:lpstr>START_HERE</vt:lpstr>
      <vt:lpstr>SETUP_Dictionary</vt:lpstr>
      <vt:lpstr>Dashboard</vt:lpstr>
      <vt:lpstr>Timeline_Tasks</vt:lpstr>
      <vt:lpstr>Vendor_Tracker</vt:lpstr>
      <vt:lpstr>Guest_RSVP</vt:lpstr>
      <vt:lpstr>Budget_Manager</vt:lpstr>
      <vt:lpstr>Decision_Notes</vt:lpstr>
      <vt:lpstr>CALC_Summary</vt:lpstr>
      <vt:lpstr>list_Budget_Category</vt:lpstr>
      <vt:lpstr>list_Guest_Group</vt:lpstr>
      <vt:lpstr>list_Guest_Side</vt:lpstr>
      <vt:lpstr>list_Link_Module</vt:lpstr>
      <vt:lpstr>list_Note_Scenario</vt:lpstr>
      <vt:lpstr>list_Owner</vt:lpstr>
      <vt:lpstr>list_Pay_Status</vt:lpstr>
      <vt:lpstr>list_RSVP_Status</vt:lpstr>
      <vt:lpstr>list_Task_Category</vt:lpstr>
      <vt:lpstr>list_Task_Status</vt:lpstr>
      <vt:lpstr>list_Vendor_Category</vt:lpstr>
      <vt:lpstr>list_Yes_No</vt:lpstr>
      <vt:lpstr>rng_ActualCost</vt:lpstr>
      <vt:lpstr>rng_CompletedTasks</vt:lpstr>
      <vt:lpstr>rng_CompletionRate</vt:lpstr>
      <vt:lpstr>rng_ConfirmedGuests</vt:lpstr>
      <vt:lpstr>rng_DepositPaid</vt:lpstr>
      <vt:lpstr>rng_FinalBalance</vt:lpstr>
      <vt:lpstr>rng_InvitedGuests</vt:lpstr>
      <vt:lpstr>rng_OverdueTasks</vt:lpstr>
      <vt:lpstr>rng_TentativeGuests</vt:lpstr>
      <vt:lpstr>rng_TotalBudget</vt:lpstr>
      <vt:lpstr>rng_TotalTasks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Alex</cp:lastModifiedBy>
  <dcterms:created xsi:type="dcterms:W3CDTF">2026-06-17T11:19:53Z</dcterms:created>
  <dcterms:modified xsi:type="dcterms:W3CDTF">2026-06-17T13:13:54Z</dcterms:modified>
</cp:coreProperties>
</file>